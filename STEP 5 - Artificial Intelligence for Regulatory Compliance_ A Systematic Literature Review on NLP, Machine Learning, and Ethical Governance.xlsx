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ção" sheetId="1" r:id="rId4"/>
    <sheet state="visible" name="Métricas e Desempenho" sheetId="2" r:id="rId5"/>
  </sheets>
  <definedNames/>
  <calcPr/>
</workbook>
</file>

<file path=xl/sharedStrings.xml><?xml version="1.0" encoding="utf-8"?>
<sst xmlns="http://schemas.openxmlformats.org/spreadsheetml/2006/main" count="2557" uniqueCount="785">
  <si>
    <t>LLM1: CHATGPT</t>
  </si>
  <si>
    <t>LLM2: GEMINI</t>
  </si>
  <si>
    <t>ID do artigo</t>
  </si>
  <si>
    <t>Tipo de publicação</t>
  </si>
  <si>
    <t>Local de publicação</t>
  </si>
  <si>
    <t>Título</t>
  </si>
  <si>
    <t>Link</t>
  </si>
  <si>
    <t xml:space="preserve">Ano </t>
  </si>
  <si>
    <t>Autores</t>
  </si>
  <si>
    <t>País</t>
  </si>
  <si>
    <t>Base de Dados</t>
  </si>
  <si>
    <t>RQ (Pergunta de Pesquisa)</t>
  </si>
  <si>
    <t>Extração LLM 1 (ChatGPT)</t>
  </si>
  <si>
    <t>Extração LLM 2 (Gemini)</t>
  </si>
  <si>
    <t>Extração validada (humana)</t>
  </si>
  <si>
    <t>ChatGPT acertou?</t>
  </si>
  <si>
    <t>Gemini acertou?</t>
  </si>
  <si>
    <t>Concordância entre LLMs</t>
  </si>
  <si>
    <t>Observações / Comentários</t>
  </si>
  <si>
    <t>&lt;&lt;nome da conferência ou periódico&gt;&gt;</t>
  </si>
  <si>
    <t>Exploiting Blockchain to Make AI Trustworthy: A Software Development Lifecycle View</t>
  </si>
  <si>
    <t>Exploiting Blockchain to Make AI Trustworthy: A Software Development Lifecycle View | ACM Computing Surveys</t>
  </si>
  <si>
    <t>Peiyun Zhang, Song Ding, Qinglin Zhao</t>
  </si>
  <si>
    <t>ACM</t>
  </si>
  <si>
    <t>RQ1</t>
  </si>
  <si>
    <t>&lt;&lt;Texto extraído da IA&gt;&gt;</t>
  </si>
  <si>
    <t>RQ2</t>
  </si>
  <si>
    <t>RQ3</t>
  </si>
  <si>
    <t>RQ4</t>
  </si>
  <si>
    <t>Journal</t>
  </si>
  <si>
    <t>Estados Unidos</t>
  </si>
  <si>
    <t>A novel framework to identify cybersecurity challenges and opportunities for organizational digital transformation in the cloud</t>
  </si>
  <si>
    <t>https://doi.org/10.1016/j.cose.2025.104339</t>
  </si>
  <si>
    <t>Xueping Liang, Yilin Xu</t>
  </si>
  <si>
    <t>Science Direct</t>
  </si>
  <si>
    <t xml:space="preserve">A IA é aplicada principalmente na segurança em nuvem por meio de machine learning e técnicas inteligentes para detecção de ameaças, prevenção de invasões, análise de padrões e suporte ao monitoramento de sistemas críticos. Os benefícios incluem maior capacidade de resposta, automação e mitigação proativa de riscos, enquanto os desafios abrangem privacidade, confiança, disponibilidade e complexidade regulatória. A governança envolve modelos como Zero Trust, auditorias, controle de acesso e conformidade com padrões legais. </t>
  </si>
  <si>
    <t>A IA e o Aprendizado de Máquina são integrados para automatizar a detecção de ameaças em tempo real e otimizar a análise de segurança, utilizando "Frameworks de Automação de Conformidade na Nuvem" para verificar alinhamento com normas como GDPR e HIPAA. A governança emerge através de arquiteturas Zero Trust e gerenciadores de políticas que auditam o acesso e a integridade dos dados, garantindo conformidade legal e reduzindo riscos financeiros.</t>
  </si>
  <si>
    <t>A IA (Machine Learning e Inteligência Artificial) está sendo integrada para melhorar a segurança na nuvem. O principal benefício é o potencial de detecção avançada de ameaças e resposta automatizada. O maior desafio é garantir a privacidade e proteção de dados, e a governança foca em aderir a diversas estruturas regulatórias como o GDPR e o HIPAA.</t>
  </si>
  <si>
    <t>Sim</t>
  </si>
  <si>
    <t xml:space="preserve">As técnicas de IA mais citadas incluem machine learning, algoritmos de detecção de anomalias, análise baseada em comportamento, métodos criptográficos inteligentes, sistemas de detecção de intrusão, autenticação multifatorial e modelos baseados em confiança. O artigo também destaca uso de blockchain, homomorphic encryption e frameworks de segurança orientados a dados. </t>
  </si>
  <si>
    <t>O estudo destaca o uso de Aprendizado de Máquina Supervisionado para simplificar processos de segurança e detectar ataques em tempo de execução, além de Deep Learning para processar grandes volumes de dados no setor de saúde. Também são empregadas análises comportamentais dentro de arquiteturas Zero Trust para identificar anomalias de uso e padrões de ameaças em ambientes de nuvem.</t>
  </si>
  <si>
    <t>O Machine Learning (ML) e a Inteligência Artificial (AI) são utilizados para detecção de ataques durante o runtime e para análise de comportamento em arquiteturas Zero Trust (ZTA). A IA também é importante para otimizar a análise de dados, sendo as PETs (Tecnologias de Aprimoramento da Privacidade) citadas como essenciais para garantir a privacidade dos dados pessoais.</t>
  </si>
  <si>
    <t xml:space="preserve">Entre os benefícios estão maior segurança, redução de riscos, melhoria na tomada de decisão, detecção precoce de ataques e escalabilidade em ambientes de nuvem. Os principais desafios incluem vazamento de dados, acesso não autorizado, ataques cibernéticos, falta de padrões, complexidade das ameaças, privacidade, conformidade legal e requisitos de alta confiabilidade. </t>
  </si>
  <si>
    <t>Os benefícios incluem a detecção dinâmica de ataques, otimização da análise de dados e redução da complexidade do sistema, permitindo foco no refinamento de algoritmos. Os desafios envolvem a dependência de grandes conjuntos de dados, a necessidade de manter a qualidade das informações e a obrigação crítica de preservar a privacidade dos dados durante o processamento usando Tecnologias de Aprimoramento de Privacidade (PETs).</t>
  </si>
  <si>
    <t>Os benefícios incluem o desenvolvimento ágil de soluções, a otimização de custos e recursos, e a detecção mais eficaz de ameaças. Os desafios envolvem a privacidade e proteção de dados, a complexidade do gerenciamento de identidades e acesso (IAM), e os trade-offs entre segurança e desempenho.</t>
  </si>
  <si>
    <t xml:space="preserve">Os estudos tratam governança e ética enfatizando privacidade, conformidade legal (incluindo GDPR como exemplo direto), auditorias, mecanismos de confiança, proteção de dados, modelos de compliance, controle de acesso, monitoramento e accountability. O artigo também destaca a importância de frameworks regulatórios, políticas internas e gestão de riscos em sistemas em nuvem. </t>
  </si>
  <si>
    <t>A governança é estruturada através de artefatos de Design Science focados em conformidade, como painéis de monitoramento que garantem adesão a leis como GDPR e HIPAA. A ética e a transparência são reforçadas pelo uso de Blockchain para proveniência imutável de dados e arquiteturas Zero Trust que eliminam a confiança implícita, exigindo verificação contínua de identidade e acesso.</t>
  </si>
  <si>
    <t>A governança exige a conformidade com regulamentações como o GDPR e o HIPAA. A ética é abordada pela exploração de modelos de aprendizado federado para aprimorar a privacidade e pelo uso da tecnologia Blockchain para garantir a imunidade e transparência no rastreamento da proveniência dos dados. A LGPD brasileira não é mencionada nas fontes.</t>
  </si>
  <si>
    <t>França</t>
  </si>
  <si>
    <t>Privacy controls as an information source to reduce data poisoning in artificial intelligence-powered personalization</t>
  </si>
  <si>
    <t>https://doi.org/10.1016/j.jbusres.2022.07.045</t>
  </si>
  <si>
    <t>Julien Cloarec</t>
  </si>
  <si>
    <t>O artigo discute IA apenas como tecnologia de personalização, não como ferramenta de compliance. A IA aparece como contexto para explicar como vulnerabilidades e assimetria de poder levam consumidores a falsificar dados, e como controles de privacidade podem mitigar esse problema, mas não trata de estruturas de governança ou automação regulatória.</t>
  </si>
  <si>
    <t>O estudo não foca na aplicação de IA para automatizar a conformidade, mas sim na reação dos consumidores (falsificação de dados) à personalização alimentada por IA e marketing orientado a dados. A estrutura de governança discutida envolve o uso de controles de privacidade como fonte de informação para reduzir a vulnerabilidade do consumidor e o envenenamento de dados, equilibrando poder de mercado e ética digital.</t>
  </si>
  <si>
    <t>O artigo discute a aplicação da Inteligência Artificial no contexto da personalização orientada por dados, que aumenta a vulnerabilidade do consumidor e o leva à falsificação de informações. Embora o artigo mencione regulamentações de privacidade e a existência de paradoxos da IA nos mercados consumidores que trazem desafios éticos, ele não detalha especificamente como técnicas de machine learning ou PLN estão sendo usadas para automatizar e aprimorar a conformidade regulatória (RegTech), nem lista os principais benefícios ou as estruturas de governança dessa automação</t>
  </si>
  <si>
    <t>O texto não apresenta técnicas de IA aplicadas à automação de compliance (como NLP, ML ou sistemas especialistas). A IA é citada apenas como tecnologia de personalização utilizada por empresas, sem detalhamento técnico nem relação com tarefas regulatórias.</t>
  </si>
  <si>
    <t>O documento não descreve técnicas de IA para automação de conformidade, concentrando-se em metodologia experimental e estatística (análise de mediação para medidas repetidas) para entender o comportamento humano frente a sistemas de IA. O foco técnico é o impacto dos controles de privacidade (como configurações do Facebook) na percepção de autoeficácia e vulnerabilidade do usuário.</t>
  </si>
  <si>
    <t>O artigo não fornece informações específicas sobre quais técnicas de IA, como Processamento de Linguagem Natural, Aprendizado de Máquina ou Sistemas Especialistas, são mais empregadas na automação de tarefas de conformidade regulatória. O foco do estudo está na resposta comportamental dos consumidores (falsificação de dados) diante dos controles de privacidade em sistemas de personalização impulsionados por IA.</t>
  </si>
  <si>
    <t>O artigo não trata de compliance; contudo, menciona benefícios e desafios de IA no marketing digital: a personalização aumenta utilidade, mas gera vulnerabilidade, risco de vigilância e falsificação de dados pelos usuários. Também discute o paradoxo do controle e a assimetria de informação, que elevam sentimentos de risco e comportamentos defensivos.</t>
  </si>
  <si>
    <t>O desafio central citado é o "envenenamento de dados" (falsificação de informações pelos usuários), que ameaça a precisão dos modelos de IA e a economia digital. O benefício abordado refere-se à implementação de controles de privacidade que, ao aumentarem a autoeficácia do usuário e reduzirem a vulnerabilidade percebida, diminuem a falsificação, preservando a utilidade dos dados.</t>
  </si>
  <si>
    <t>Os benefícios e desafios específicos da IA em processos de conformidade, como redução de custos, viés algorítmico ou interpretabilidade, não são falados. Entretanto, o artigo aponta que a intervenção de marketing que fornece controles de privacidade pode reduzir a vulnerabilidade do consumidor e aumentar a autoeficácia, o que, por sua vez, reduz a falsificação de informações (melhorando a qualidade dos dados). O desafio de manter a utilidade dos dados versus a redução da vulnerabilidade do consumidor é um trade-off importante na gestão.</t>
  </si>
  <si>
    <t>O artigo não trata de LGPD, GDPR ou governança algorítmica. A discussão ética é centrada em privacidade do consumidor, responsabilidade digital corporativa e necessidade de empoderamento por meio de controles de privacidade, destacando como políticas e práticas claras podem reduzir vulnerabilidade e falsificação de dados.</t>
  </si>
  <si>
    <t>A ética é abordada através do conceito de responsabilidade digital corporativa, onde empresas devem capacitar consumidores sobre seus dados para evitar subversão e desequilíbrio de poder. O estudo alerta para o risco ético de controles de privacidade ilusórios e destaca que regulamentações de privacidade visam reduzir a vulnerabilidade do consumidor, exigindo transparência nas práticas de coleta de dados.</t>
  </si>
  <si>
    <t>O estudo aborda a ética e a governança através da noção de responsabilidade digital corporativa (CDR) e da importância da ética de privacidade iniciada pela empresa. As empresas devem incentivar os consumidores a estarem mais conscientes e a exercerem controle sobre a coleta e gestão de seus dados. A transparência e a confiança são princípios de design para dados de clientes, e as regulamentações de privacidade visam reduzir a vulnerabilidade do consumidor. A pesquisa sugere comparar políticas como o opt-in da União Europeia (UE) com o opt-out dos EUA.</t>
  </si>
  <si>
    <t>Bélgica</t>
  </si>
  <si>
    <t>Exploring Automated GDPR-Compliance in Requirements Engineering: A Systematic Mapping Study</t>
  </si>
  <si>
    <t>https://ieeexplore.ieee.org/document/9420457/authors</t>
  </si>
  <si>
    <t>Abdel-Jaouad Aberkane; Geert Poels; Seppe Vanden Broucke</t>
  </si>
  <si>
    <t>IEEE</t>
  </si>
  <si>
    <t>O artigo não descreve automação direta de compliance; ele discute como IA no setor público exige práticas robustas de governança, gestão de riscos, documentação e supervisão humana para garantir conformidade com princípios como transparência, accountability e confiança institucional.</t>
  </si>
  <si>
    <t>O estudo foca na automação da conformidade com o GDPR durante a Engenharia de Requisitos (RE) usando Processamento de Linguagem Natural (NLP). A IA é aplicada para identificar e anonimizar dados pessoais em documentos, garantindo a privacidade desde o projeto (data protection by design). A governança emerge através da modelagem de obrigações legais em requisitos técnicos verificáveis.</t>
  </si>
  <si>
    <t>A Inteligência Artificial, especificamente o Processamento de Linguagem Natural (PLN), é utilizada para automatizar tarefas manuais na Engenharia de Requisitos (RE), auxiliando na conformidade com o GDPR. O principal benefício é unir os esforços financeiros e humanos substanciais exigidos pela conformidade regulatória, permitindo que as organizações adotem uma postura proativa. A governança é focada nos princípios de proteção de dados "by design" e "by default"</t>
  </si>
  <si>
    <t>O texto não aponta técnicas específicas voltadas a compliance. Ele menciona sistemas de IA baseados em aprendizado de máquina empregados em decisões públicas, mas foca nos riscos e na necessidade de validação, auditoria e monitoramento contínuo, e não em técnicas como NLP ou sistemas especialistas.</t>
  </si>
  <si>
    <t>O trabalho identifica diversas técnicas de NLP aplicadas à Engenharia de Requisitos e GDPR, incluindo classificação de texto, extração de informação, Part-of-Speech (POS) tagging, reconhecimento de entidades nomeadas (NER) e pré-processamento (tokenização, stemming). Algoritmos de aprendizado de máquina, como redes neurais convolucionais, também são citados para classificação de texto.</t>
  </si>
  <si>
    <t>O PLN é a técnica de IA mais explorada na automação, com o objetivo de alcançar a conformidade automatizada com o GDPR na RE. Nos estudos que combinam NLP e GDPR, as abordagens mais frequentes são a classificação de texto e o pré-processamento. O aprendizado de máquina baseado em PLN também é identificado para a classificação e anonimização de dados pessoais em documentos, visando a conformidade.</t>
  </si>
  <si>
    <t>Parcialmente</t>
  </si>
  <si>
    <t>ChatGPT afirmou que o artigo "não descreve automação direta", enquanto Gemini e Humano detalharam o uso de NLP para conformidade.</t>
  </si>
  <si>
    <t>Entre os benefícios citados estão maior eficiência, escalabilidade e potencial melhoria na prestação de serviços públicos. Os desafios incluem opacidade algorítmica, riscos de vieses, falta de documentação, incapacidade de auditoria e impacto negativo na confiança pública caso o uso de IA não seja cuidadosamente controlado.</t>
  </si>
  <si>
    <t>Os benefícios incluem a redução do esforço manual e repetitivo na análise de documentos legais e requisitos, aumento da eficiência e garantia de conformidade proativa (by design). O estudo aponta a escassez de pesquisas na interseção específica de GDPR, NLP e RE como um desafio, indicando uma lacuna na automação completa da conformidade regulatória.</t>
  </si>
  <si>
    <t>Um benefício importante é a redução dos esforços e recursos humanos necessários para a conformidade com o GDPR, permitindo uma consciência e postura mais proativa das organizações. Os desafios citados refletem os conceitos do GDPR que exigem foco, sendo os mais prevalentes a Privacidade (30%), a Integridade e Confidencialidade (25%) e a Legalidade, Imparcialidade e Transparência (20%).</t>
  </si>
  <si>
    <t>ChatGPT foi vago sobre as técnicas. Gemini listou corretamente NLP, classificação e pré-processamento como a validação.</t>
  </si>
  <si>
    <t>O artigo enfatiza governança baseada em accountability, documentação, avaliação de riscos e mitigação de vieses, reforçando a necessidade de práticas robustas para garantir uso ético da IA. Embora não mencione diretamente LGPD/GDPR, aborda princípios equivalentes de transparência, controle, explicabilidade, supervisão humana e confiança pública.</t>
  </si>
  <si>
    <t>A governança é abordada através da tradução dos princípios do GDPR (como legalidade, justiça, transparência e responsabilidade) em requisitos de software. O estudo destaca a importância de técnicas de NLP para verificar a conformidade de políticas de privacidade e requisitos do sistema, assegurando que os direitos dos titulares dos dados sejam respeitados desde a concepção do software.</t>
  </si>
  <si>
    <t>O estudo aborda a governança e a ética focando na adesão ao GDPR, exigindo que as empresas implementem medidas técnicas e organizacionais apropriadas para impor os princípios de proteção de dados. Princípios éticos/regulatórios essenciais incluem a Prestação de Contas (Accountability) e a Legalidade, Imparcialidade e Transparência. A LGPD não é mencionada no estudo.</t>
  </si>
  <si>
    <t>Luxemburgo</t>
  </si>
  <si>
    <t>NLP-Based Automated Compliance Checking of Data Processing Agreements Against GDPR</t>
  </si>
  <si>
    <t>https://ieeexplore.ieee.org/document/10167495</t>
  </si>
  <si>
    <t>Orlando Amaral Cejas; Muhammad Ilyas Azeem; Sallam Abualhaija; Lionel C. Briand</t>
  </si>
  <si>
    <t>A IA é aplicada para automatizar verificações de aderência normativa, análise de documentos e detecção de riscos, especialmente usando modelos de PLN e aprendizado de máquina para interpretar regras e monitorar processos. Os benefícios incluem padronização, precisão e suporte à decisão, enquanto os desafios envolvem viés, explicabilidade e privacidade, além da necessidade de estruturas de governança para auditoria e supervisão humana.</t>
  </si>
  <si>
    <t>O estudo propõe uma abordagem automatizada (DERECHA) usando Processamento de Linguagem Natural (NLP) para verificar a conformidade de Acordos de Processamento de Dados (DPAs) contra o GDPR, traduzindo textos legais em requisitos de software. A estrutura de governança foca na validação de obrigações entre controladores e processadores de dados, garantindo que os contratos cubram requisitos mandatórios de proteção de dados antes da implementação do sistema.</t>
  </si>
  <si>
    <t>O Processamento de Linguagem Natural (PLN) é usado para verificar automaticamente a conformidade de Acordos de Processamento de Dados (DPAs) com o GDPR, decompondo os textos para identificar violações e informações faltantes. O principal benefício é a drástica redução do tempo e esforço manual (economia de 30 minutos para 2,5 minutos por DPA). O desafio reside na complexidade da linguagem legal e na necessidade de precisão, enquanto a governança emerge ao garantir que os DPAs sejam um pré-requisito completo para requisitos de sistemas de software compatíveis com privacidade.</t>
  </si>
  <si>
    <t>As principais técnicas mencionadas incluem modelos de Processamento de Linguagem Natural para interpretação de requisitos regulatórios, aprendizado supervisionado e não supervisionado para classificação e detecção de anomalias, além de sistemas especialistas para regras decisórias em contextos normativos.</t>
  </si>
  <si>
    <t>A pesquisa emprega um pipeline de NLP que inclui tokenização, POS tagging, análise de dependência e análise semântica com recursos léxicos (WordNet e VerbNet), optando por não usar Machine Learning ou Deep Learning devido à escassez de dados rotulados. A técnica central é o uso de Quadros Semânticos (Semantic Frames) para decompor e comparar semanticamente as cláusulas dos contratos com os requisitos do GDPR.</t>
  </si>
  <si>
    <t>A técnica mais empregada é o Processamento de Linguagem Natural (PLN). O método se baseia em uma pipeline de PLN (tokenização, dependency parsing, semantic parsing) e regras, em vez de modelos robustos de Machine Learning (ML) ou Deep Learning (DL), devido à escassez de dados rotulados.</t>
  </si>
  <si>
    <t>Os benefícios destacados são maior precisão na análise, redução de custos operacionais e agilidade na execução de tarefas repetitivas. Os desafios incluem riscos de viés algorítmico, falta de transparência dos modelos, dificuldades de interpretabilidade e possíveis conflitos com requisitos de privacidade dos dados.</t>
  </si>
  <si>
    <t>Os benefícios incluem alta eficiência (análise em 2,5 minutos versus 30 minutos manualmente) e precisão superior (89,1%) em comparação a ferramentas de NLP genéricas, reduzindo o esforço humano na revisão de textos legais complexos. Os desafios envolvem a ambiguidade inerente à linguagem jurídica, a dificuldade de interpretar contextos em listas enumeradas e a falta de conjuntos de dados suficientes para treinar modelos de aprendizado de máquina robustos.</t>
  </si>
  <si>
    <t>O principal benefício é a agilidade e eficiência, com a ferramenta DERECHA verificando DPAs em cerca de 2,5 minutos e alcançando 84,6% de acurácia. Os desafios incluem interpretação inconsistente de referências, perda de contexto em listas itemizadas, e o texto ruidoso/verboso nos documentos, que impactam a análise.</t>
  </si>
  <si>
    <t>Os estudos enfatizam a necessidade de governança estruturada, com auditorias constantes, transparência nos algoritmos, supervisão humana e aderência a regulações como LGPD e GDPR. Ressalta-se também o papel da gestão em conformidade para garantir rastreabilidade, prestação de contas e uso ético da IA em processos regulatórios.</t>
  </si>
  <si>
    <t>A governança é tratada através da extração rigorosa de 45 requisitos de conformidade ("shall requirements") do GDPR em colaboração com especialistas jurídicos, criando uma ponte entre a lei e a engenharia de requisitos. O estudo assegura a adesão ao regulamento focando na verificação de DPAs, que são instrumentos legais cruciais para definir responsabilidades de privacidade e segurança entre as partes que processam dados pessoais.</t>
  </si>
  <si>
    <t>O estudo aborda a governança e a ética focando integralmente na adesão ao GDPR. O cerne da governança é garantir que o sistema cumpra os requisitos legalmente vinculativos listados nos DPAs. A conformidade visa impor Accountability e as obrigações específicas impostas aos controladores e processadores, como a implementação de medidas técnicas e organizacionais adequadas para a segurança de dados. A LGPD não é mencionada.</t>
  </si>
  <si>
    <t>Conference</t>
  </si>
  <si>
    <t>LLM-assisted Extraction of Regulatory Requirements: A Case Study on the GDPR</t>
  </si>
  <si>
    <t>https://ieeexplore.ieee.org/document/11190380</t>
  </si>
  <si>
    <t>Sallam Abualhaija; Marcello Ceci; Nicolas Sannier; Domenico Bianculli; Salomé Lannier; Martina Siclari</t>
  </si>
  <si>
    <t>A IA é aplicada por meio de LLMs, NLP e RAG para extrair automaticamente requisitos regulatórios (como direitos do GDPR), reduzindo a lacuna entre interpretação legal e desenvolvimento de software. Os benefícios incluem automação e apoio a engenheiros; desafios incluem perspectiva incorreta, requisitos genéricos e limitações na interpretação jurídica; e a governança envolve uso responsável, referência a fontes normativas e colaboração com especialistas.</t>
  </si>
  <si>
    <t>O estudo propõe a abordagem XTRAREG, que utiliza Grandes Modelos de Linguagem (LLMs) e Retrieval Augmented Generation (RAG) para automatizar a extração de requisitos de privacidade do GDPR, preenchendo a lacuna entre a lei e o desenvolvimento de software. A governança emerge através da engenharia de prompt (Chain-of-Thought) que exige que o LLM explique o raciocínio por trás de cada requisito gerado, auxiliando analistas humanos na validação de conformidade</t>
  </si>
  <si>
    <t>A IA, via LLMs e PLN, é aplicada para automatizar a extração de requisitos detalhados de privacidade a partir de documentos legais (GDPR e fontes complementares). Os benefícios são a alta acurácia (81.8% ACC, 85.7% PRT) na geração desses requisitos e o auxílio a engenheiros com lacunas de conhecimento legal. Os desafios incluem baixa cobertura, geração de requisitos genéricos e a adoção de perspectivas incorretas pelo LLM, enquanto a governança foca na capacidade de justificar a conformidade usando fontes corretas.</t>
  </si>
  <si>
    <t>As técnicas mais empregadas são NLP, grandes modelos de linguagem (LLMs), Zero-shot learning, Chain-of-Thought e Retrieval-Augmented Generation, usadas para interpretar textos legais, gerar requisitos detalhados e cruzar fontes normativas como GDPR e diretrizes do EDPB.</t>
  </si>
  <si>
    <t>A pesquisa emprega Grandes Modelos de Linguagem (LLMs), especificamente GPT-3.5 e GPT-4o, combinados com a técnica de Geração Aumentada por Recuperação (RAG) para incorporar conhecimento jurídico específico nos prompts. Além disso, utiliza técnicas de engenharia de prompt como Zero-Shot Learning (ZSL) para instruções diretas e Chain-of-Thought (CoT) para articular o raciocínio da extração de requisitos.</t>
  </si>
  <si>
    <t>As técnicas mais empregadas são LLMs em conjunto com o PLN. O método citado no artigo, XTRAREG, utiliza especificamente a Geração Aumentada por Recuperação (RAG) para incorporar conhecimento legal específico nos prompts, e técnicas como Zero-Shot Learning e Chain-of-Thought são usadas para instruir o LLM a extrair os requisitos.</t>
  </si>
  <si>
    <t>Os benefícios incluem geração automática de requisitos, aumento de precisão e apoio ao processo de compliance; já os desafios envolvem viés, referências incompletas, interpretações erradas, pouca cobertura e risco de requisitos não acionáveis. Há ainda dificuldades em capturar exceções legais e garantir alinhamento normativo.</t>
  </si>
  <si>
    <t>Os benefícios incluem a automação da extração de requisitos com alta precisão (até 85,7% para o direito à portabilidade), auxiliando engenheiros na implementação técnica de direitos legais complexos. Os desafios envolvem a tendência dos LLMs de gerar requisitos genéricos ou alucinar, e a dificuldade em referenciar fontes legais adicionais além do GDPR, mesmo quando explicitamente instruídos via RAG.</t>
  </si>
  <si>
    <t>O principal benefício é a agilidade e precisão na geração de requisitos técnicos detalhados, com acurácia de 81% a 85.7% para os direitos de acesso e portabilidade no GDPR, e a redução do risco de desenvolvimento de software não compatível. Os desafios incluem a baixa cobertura e a dificuldade em fornecer referências legais completas ou corretas.</t>
  </si>
  <si>
    <t>Os estudos tratam governança e ética ao destacar a necessidade de fundamentação normativa correta, transparência nas referências legais, prevenção de uso inadequado das capacidades dos LLMs e apoio contínuo de especialistas para garantir aderência ao GDPR e a diretrizes oficiais. Limitações éticas incluem interpretações errôneas e risco de incompletude jurídica.</t>
  </si>
  <si>
    <t>O estudo aborda a governança focando na extração correta de requisitos para garantir o desenvolvimento de software lícito e ético sob o GDPR, especificamente para os direitos de acesso e portabilidade dos titulares de dados. A ética no uso da IA é tratada posicionando os LLMs como assistentes de especialistas humanos para mitigar riscos de alucinação e garantir a validade jurídica das saídas geradas</t>
  </si>
  <si>
    <t>Os estudos abordam a governança e a ética focando na adesão ao GDPR e na necessidade de Accountability. A transparência é considerada um princípio de design importante, sendo explorada a técnica Chain-of-Thought para fazer com que o LLM articule o raciocínio por trás da extração dos requisitos. O foco é garantir que o software seja legal e ético, incorporando requisitos detalhados obtidos de fontes autoritativas além da legislação primária, embora a LGPD não seja mencionada.</t>
  </si>
  <si>
    <t>Indonésia</t>
  </si>
  <si>
    <t>Understanding the Basics of Privacy Engineering: An Ontological Approach</t>
  </si>
  <si>
    <t>https://ieeexplore.ieee.org/document/10929291</t>
  </si>
  <si>
    <t>Agus Hariyanto; Sawung Murdha Anggara; Ana Heryana; Suhardi</t>
  </si>
  <si>
    <t>Segundo o documento, a integração de IA ocorre principalmente por meio de metodologias de privacy engineering e automação orientada por princípios como privacy-by-design, alinhando práticas ao GDPR e outras normas. Isso fortalece a detecção precoce de riscos e a aplicação de salvaguardas, mas exige práticas organizacionais maduras, colaboração com especialistas e cultura de conformidade.</t>
  </si>
  <si>
    <t>O estudo destaca o papel de tecnologias emergentes, como inteligência artificial e blockchain, para fortalecer as salvaguardas de privacidade e manter a conformidade regulatória, propondo a integração de considerações de privacidade em metodologias de desenvolvimento como Agile. A estrutura de governança foca na responsabilidade (accountability), confiança do usuário e manuseio ético de dados, utilizando uma Ontologia de Engenharia de Privacidade para estruturar práticas e comunicação entre as partes interessadas.</t>
  </si>
  <si>
    <t>A IA é tratada no contexto de práticas de privacy engineering, atuando como suporte à automação de processos que reforçam a aderência a normas como o GDPR. Ela contribui para fortalecer salvaguardas, antecipar riscos e apoiar decisões, mas depende de governança madura, participação de especialistas e alinhamento contínuo às exigências regulatórias.</t>
  </si>
  <si>
    <t>O texto menciona o uso de técnicas ligadas à engenharia de privacidade e práticas automatizadas que suportam avaliação contínua de riscos e conformidade, o que inclui métodos de análise orientada a dados e automação de verificações. Aparecem também referências gerais ao uso de métodos de privacy engineering e práticas de detecção de violações. (O arquivo não descreve técnicas específicas como NLP ou ML, portanto a resposta se limita ao que realmente aparece.)</t>
  </si>
  <si>
    <t>O texto enfatiza técnicas de preservação de privacidade utilizadas em Ciência de Dados e IA, especificamente aprendizado federado (federated learning), privacidade diferencial e criptografia homomórfica, que permitem análises colaborativas sem expor dados sensíveis. Além disso, menciona-se o uso de algoritmos de aprendizado de máquina, alertando, contudo, para sua capacidade de desanonimizar dados através da correlação de pontos de dados díspares.</t>
  </si>
  <si>
    <t>O artigo não descreve técnicas específicas como NLP, ML ou sistemas especialistas; ele foca em práticas de engenharia de privacidade e metodologias automatizadas de avaliação de riscos e conformidade. A automação mencionada está ligada mais à aplicação sistemática de princípios regulatórios do que ao uso explícito de técnicas avançadas de IA.</t>
  </si>
  <si>
    <t>Os benefícios apontados incluem detecção antecipada de riscos, melhoria de salvaguardas, criação de métricas padronizadas de privacidade e adaptação contínua a ameaças e exigências regulatórias. Entre os desafios estão a necessidade de capacitação, maturidade organizacional, adaptação a um cenário regulatório dinâmico e riscos associados à gestão inadequada de dados sensíveis.</t>
  </si>
  <si>
    <t>Os benefícios incluem a capacidade de realizar análises significativas em grandes volumes de dados protegendo informações pessoais, enquanto os desafios envolvem a dificuldade das leis atuais (como GDPR e CCPA) em abordar questões específicas da IA, como a transparência na tomada de decisões automatizada. Um desafio crítico citado é a vulnerabilidade da exposição de PII devido a técnicas sofisticadas de agregação de dados e a inferência de detalhes sensíveis por modelos de IA.</t>
  </si>
  <si>
    <t>Os benefícios destacados incluem maior capacidade de detectar problemas de privacidade, adoção de medidas preventivas e criação de métricas padronizadas para monitoramento contínuo. Entre os desafios, o texto enfatiza limitações organizacionais, necessidade de adaptação constante e riscos associados ao uso inadequado ou insuficiente de práticas de proteção de dados.</t>
  </si>
  <si>
    <t>documento enfatiza que a conformidade exige ações alinhadas a normas éticas, legislação internacional (como GDPR) e padrões de segurança (ISO/IEC 27000). Reforça a importância de educação em ética, responsabilização, transparência e adoção de práticas contínuas de proteção de dados em níveis estadual, nacional e internacional.</t>
  </si>
  <si>
    <t>A governança é abordada através da Engenharia de Privacidade, que integra princípios legais e éticos, enfatizando a conformidade com o GDPR e a implementação de Privacy by Design para promover responsabilidade e transparência no manuseio de dados. A ética é tratada pela necessidade de manter a confiança do usuário, obter consentimento informado e navegar por dilemas morais complexos relacionados à coleta de dados e direitos dos usuários.</t>
  </si>
  <si>
    <t>Os estudos enfatizam que a conformidade exige forte base ética, transparência nas práticas de privacidade e aderência rigorosa a normas como o GDPR, reforçando também a importância de educação em ética digital. A governança é tratada como um compromisso institucional contínuo que envolve responsabilidade, boas práticas e alinhamento a padrões internacionais de proteção de dados.</t>
  </si>
  <si>
    <t>ABET Cybersecurity Continual Course Improvements for Secure Software Development</t>
  </si>
  <si>
    <t>https://ieeexplore.ieee.org/document/9637296</t>
  </si>
  <si>
    <t>Suzanna E. Schmeelk; Denise M. Dragos; Joan E. DeBello</t>
  </si>
  <si>
    <t>A IA é aplicada no estudo para categorizar respostas abertas de estudantes por meio de machine learning, especificamente TF-IDF e K-Means, auxiliando na melhoria contínua de cursos de conformidade e segurança. Os benefícios citados incluem padronização e apoio à decisão; os desafios envolvem tratar dados não estruturados e garantir qualidade na análise. A governança surge ligada ao processo ABET, enfatizando melhoria contínua e alinhamento a requisitos regulatórios.</t>
  </si>
  <si>
    <t>Neste estudo, a IA não é aplicada diretamente na conformidade do sistema, mas sim para analisar pesquisas de alunos e aprimorar o currículo de desenvolvimento de software seguro, que ensina sobre conformidade (GDPR, HIPAA). A estrutura de governança emerge dos requisitos de credenciamento da ABET para melhoria contínua do curso baseada em dados.</t>
  </si>
  <si>
    <t>No artigo, a IA aparece como suporte à melhoria contínua por meio do uso de machine learning para organizar e interpretar feedback de estudantes, automatizando a identificação de padrões úteis ao processo de conformidade acadêmica. Isso permite decisões mais consistentes e baseadas em dados, embora traga desafios como a heterogeneidade das respostas e a necessidade de tratamento cuidadoso de dados textuais. A governança se expressa no alinhamento às exigências do processo de acreditação ABET, que exige documentação transparente, avaliação contínua e aderência a padrões regulatórios educacionais.</t>
  </si>
  <si>
    <t>As técnicas empregadas incluem machine learning com TF-IDF para representação textual e K-Means para agrupamento, voltadas à análise de feedback qualitativo. Não há uso direto de NLP avançado, mas há aplicação de vetorização textual e clustering como métodos principais na automação de interpretação de conformidade educacional.</t>
  </si>
  <si>
    <t>O estudo emprega especificamente a técnica de Term Frequency-Inverse Document Frequency (TF-IDF) em conjunto com um algoritmo de agrupamento K-Means.  Essas técnicas são utilizadas para categorizar e processar dados de texto não estruturados provenientes de pesquisas com alunos para identificar áreas de melhoria.</t>
  </si>
  <si>
    <t>As técnicas de IA mais utilizadas são TF-IDF para representação do texto e K-Means para agrupar opiniões e identificar temas recorrentes, funcionando como uma forma simples de NLP combinada com aprendizado não supervisionado. Essas técnicas permitem estruturar grandes volumes de dados abertos e apoiar a automação de análises de conformidade curricular.</t>
  </si>
  <si>
    <t>Os benefícios identificados incluem padronização do processo de avaliação, identificação objetiva de padrões em grandes volumes de texto e suporte estruturado à melhoria curricular. Os desafios incluem heterogeneidade das respostas, limitação de categorias, dificuldade de interpretar nuances humanas e necessidade de dados limpos e bem estruturados para evitar vieses.</t>
  </si>
  <si>
    <t>Os benefícios citados referem-se à capacidade de padronizar e agregar feedbacks abertos para identificar obstáculos no aprendizado, como dificuldades com criptografia e coordenação de equipes. O desafio contextual é manter o currículo atualizado frente às rápidas mudanças nas leis regulatórias internacionais e locais de software.</t>
  </si>
  <si>
    <t>Os principais benefícios observados incluem maior organização das informações, visão mais clara das necessidades de melhoria e apoio mais ágil à tomada de decisão docente. Por outro lado, surgem desafios como lidar com dados não estruturados, possíveis vieses ao interpretar clusters e limitações inerentes a modelos simples frente à complexidade das percepções humanas.</t>
  </si>
  <si>
    <t>A governança é tratada no contexto do processo ABET, enfatizando prestação de contas, melhoria contínua e alinhamento às expectativas regulatórias e de qualidade educacional. Embora o artigo cite regulamentações como GDPR, HIPAA e PCI-DSS, o foco é curricular; assim, ética, transparência e responsabilidade aparecem como princípios de formação para lidar com requisitos regulatórios e boas práticas de segurança.</t>
  </si>
  <si>
    <t>A ética é abordada através da aprovação do Institutional Review Board (IRB) para a coleta e análise de dados dos alunos via IA, garantindo anonimato. A governança educacional foca no ensino de regulamentações como GDPR, HIPAA e PCI-DSS, preparando os alunos para desenvolverem sistemas que aderem a esses padrões éticos e legais.</t>
  </si>
  <si>
    <t xml:space="preserve">O artigo discute governança e ética dentro do contexto educacional, destacando a importância de processos transparentes, registros consistentes e accountability exigidos pela ABET. Embora mencione regulações como GDPR e HIPAA como motivadores para formar profissionais conscientes da conformidade, o enfoque ético aparece sobretudo na responsabilidade institucional de coletar dados de forma adequada (via IRB) e utilizá-los para melhorias legítimas e alinhadas às expectativas regulatórias. </t>
  </si>
  <si>
    <t>Approximate Knowledge Graphs: Privacy-Preserving Healthcare Data Synthesis via LLM-Driven approximation</t>
  </si>
  <si>
    <t>https://ieeexplore.ieee.org/document/11121094</t>
  </si>
  <si>
    <t>Shenglin Li; Abel Andrés Ramírez Molina; Jiaqi Gong</t>
  </si>
  <si>
    <t>O artigo mostra IA sendo usada para automatizar a anonimização de dados de saúde por meio de LLMs e grafos de conhecimento, equilibrando utilidade e privacidade. A integração ajuda a reduzir riscos de reidentificação, manter consistência semântica e cumprir regulações como HIPAA e GDPR, lidando com desafios como vazamentos de memória, bias e perda de fidelidade.</t>
  </si>
  <si>
    <t>O estudo não foca na automação da conformidade regulatória em si, mas sim na geração de dados de saúde sintéticos que respeitem a privacidade (conformidade com HIPAA e GDPR) usando Grandes Modelos de Linguagem (LLMs) e Grafos de Conhecimento (KGs). A estrutura de governança é baseada em um controlador de equilíbrio (Balance Controller) que ajusta a troca (trade-off) entre privacidade e utilidade clínica através de parametrização</t>
  </si>
  <si>
    <t>A IA tem sido aplicada principalmente para automatizar a anonimização e a geração de dados sintéticos por meio de LLMs e grafos de conhecimento, permitindo conformidade com regulações como HIPAA e GDPR. Os benefícios incluem maior proteção contra reidentificação e preservação de padrões clínicos, enquanto os desafios envolvem vieses, “memorization leakage” e perda de qualidade dos dados. A governança aparece na necessidade de equilibrar privacidade e utilidade, garantindo rastreabilidade e controle sobre o nível de anonimização.</t>
  </si>
  <si>
    <t>As técnicas destacadas são LLMs para extração de entidades e relações, Knowledge Graphs para garantir consistência semântica e métodos de aproximação inspirados em privacidade diferencial. Também são mencionados GANs, WGAN-GP, VAEs e modelos de classificação para avaliar utilidade.</t>
  </si>
  <si>
    <t>A pesquisa utiliza Grandes Modelos de Linguagem (LLMs) para extração de entidades e geração de texto, combinados com Grafos de Conhecimento (KGs) para estruturar relações clínicas. Além disso, emprega técnicas de prompt-based approximation e generalização de atributos (ex: faixas etárias em vez de idades exatas) para anonimização.</t>
  </si>
  <si>
    <t>As técnicas mais utilizadas incluem LLMs para extração semântica e anonimização, Knowledge Graphs para estruturar relações clínicas e métodos inspirados em privacidade diferencial para modular o nível de exposição dos dados. A literatura também cita GANs, WGAN-GP e VAEs quando se trata de geração sintética com preservação de padrões sensíveis.</t>
  </si>
  <si>
    <t>Os benefícios incluem redução de riscos de reidentificação, manutenção de padrões clínicos, suporte à pesquisa e melhor equilíbrio entre utilidade e privacidade. Entre os desafios estão perda de qualidade dos dados após anonimização, vieses em modelos, memorization leakage, baixa interpretabilidade e dificuldade em preservar relações complexas sem violar a privacidade.</t>
  </si>
  <si>
    <t>Os benefícios incluem a capacidade de gerar dados sintéticos de alta fidelidade que preservam padrões clínicos essenciais sem expor dados reais de pacientes, facilitando o compartilhamento de dados. Os desafios envolvem o risco de "vazamento de memorização" (memorization leakage) em modelos generativos, a dificuldade de equilibrar utilidade e privacidade em dados não estruturados e a presença de vieses nos datasets originais.</t>
  </si>
  <si>
    <t>A literatura aponta como benefícios a capacidade de compartilhar dados com segurança, reduzir riscos de identificação e manter utilidade suficiente para análises clínicas, além de permitir escalabilidade e automação. Entre os desafios estão viés algorítmico, baixa interpretabilidade de modelos, risco de vazamento de dados memorizados e a dificuldade de preservar fidelidade enquanto se garante privacidade forte.</t>
  </si>
  <si>
    <t>Os estudos tratam governança enfatizando privacidade, mitigação de riscos, transparência e controle do nível de anonimização, considerando regulações como HIPAA e GDPR. Há preocupação com vazamento de informações, necessidade de explicabilidade e responsabilidade ao usar IA para manipular dados sensíveis.</t>
  </si>
  <si>
    <t>A governança é tratada tecnicamente através de um mecanismo de abstração calibrada que permite ajustar o nível de privacidade (de 1 a 10), garantindo conformidade com regulamentos como HIPAA e GDPR. A ética é abordada pela mitigação de riscos de reidentificação e pela proposta de trabalhos futuros focados em identificar e corrigir vieses demográficos nos dados gerados.</t>
  </si>
  <si>
    <t>Os estudos tratam governança e ética enfatizando transparência sobre o nível de aproximação aplicado, mitigação de riscos de reidentificação e aderência a regulamentos como HIPAA e GDPR. Também destacam a importância de mecanismos auditáveis, prevenção de vieses e garantia de que os modelos não reproduzam informações sensíveis, reforçando prestação de contas no uso de IA em saúde.</t>
  </si>
  <si>
    <t>Portugal</t>
  </si>
  <si>
    <t>Privacy and Copyright Protection in Generative AI: A Lifecycle Perspective</t>
  </si>
  <si>
    <t>https://ieeexplore.ieee.org/document/10556135</t>
  </si>
  <si>
    <t>Dawen Zhang; Boming Xia; Yue Liu; Xiwei Xu; Thong Hoang; Zhenchang Xing</t>
  </si>
  <si>
    <t>Austrália</t>
  </si>
  <si>
    <t>A IA é aplicada para tratar questões de privacidade e direitos autorais ao longo de todo o ciclo de vida dos dados, lidando com coleta, consentimento, transparência e monitoramento. Os benefícios incluem automação e maior capacidade de lidar com grandes volumes de dados, mas surgem desafios como falta de rastreabilidade, dificuldades para obter e gerenciar consentimento e risco de violações. A governança surge em abordagens integradas como frameworks de consentimento, monitoramento contínuo e mecanismos de responsabilização.</t>
  </si>
  <si>
    <t>O estudo propõe uma estrutura de governança baseada no ciclo de vida dos dados para garantir que sistemas de IA Generativa cumpram regulamentações de privacidade e direitos autorais, integrando inovação técnica com previsão ética. A governança emerge através de abordagens como o "AI Bill of Materials" (AIBOMs) para detalhar consentimentos e licenças, além de monitoramento contínuo e guardrails para mitigar riscos legais em cada estágio do desenvolvimento.</t>
  </si>
  <si>
    <t>A IA tem sido aplicada para automatizar processos de conformidade ao lidar com privacidade e direitos autorais ao longo de todo o ciclo de vida dos dados, desde coleta e consentimento até monitoramento contínuo. Os ganhos aparecem na capacidade de escalar análises e identificar riscos de forma mais sistemática, mas desafios como falta de transparência, dificuldade de rastrear dados e riscos de uso indevido persistem. Para lidar com isso, surgem estruturas de governança baseadas em consentimento, rastreabilidade e mecanismos contínuos de verificação.</t>
  </si>
  <si>
    <t xml:space="preserve">Entre as técnicas destacadas estão aprendizado de máquina, modelos generativos e métodos como differential privacy, machine unlearning, data poisoning e guardrails avançados. Também são discutidos mecanismos de rastreamento baseados em arquitetura web (ex.: Consent Tagging, SOLID) para viabilizar conformidade. Essas técnicas atuam em diversas fases, incluindo coleta, treinamento e monitoramento. </t>
  </si>
  <si>
    <t>O documento discute técnicas aplicadas dentro dos modelos de IA para proteção de dados, como Privacidade Diferencial, Machine Unlearning (desaprendizado de máquina) e Data Poisoning, embora as considere soluções fragmentadas quando usadas isoladamente. Também menciona o uso de arquiteturas como SOLID e Consent Tagging (etiquetagem de consentimento) para gerenciar o consentimento e rastrear o uso de dados em modelos de treinamento.</t>
  </si>
  <si>
    <t>As técnicas mais presentes incluem métodos de aprendizado de máquina, abordagens de privacidade como differential privacy, machine unlearning e data poisoning para limitar uso indevido de dados, além de ferramentas arquiteturais como Consent Tagging e SOLID para gerenciar consentimento. Esses recursos atuam em etapas distintas da conformidade, permitindo maior controle sobre dados pessoais e protegidos.</t>
  </si>
  <si>
    <t>Os principais benefícios incluem maior eficiência, capacidade de lidar com grandes volumes de dados, detecção mais rápida de riscos e suporte a decisões. Entre os desafios estão viés algorítmico, dificuldades de interpretabilidade, riscos de privacidade, violações de direitos autorais e impactos imprevisíveis como degradação do desempenho do modelo. Também há desafios legais relacionados a consentimento, transparência e exclusão de dados.</t>
  </si>
  <si>
    <t>Os desafios críticos incluem a dificuldade técnica de remover dados de modelos já treinados (direito ao esquecimento), a falta de transparência sobre quais dados foram usados no treinamento e a complexidade de gerenciar consentimento em escala massiva. Além disso, medidas de proteção podem causar efeitos colaterais, como redução no desempenho do modelo ou problemas de justiça (fairness) devido à exclusão de certos dados.</t>
  </si>
  <si>
    <t xml:space="preserve">A literatura destaca benefícios como maior eficiência, capacidade de lidar com grandes volumes de dados e respostas mais rápidas a riscos regulatórios. Entre os desafios, sobressaem a possibilidade de viés, limitações de interpretabilidade, riscos de exposição indevida de dados e impactos imprevisíveis quando dados são removidos ou modificados. Também são citadas dificuldades práticas de garantir transparência e acurácia em modelos complexos. </t>
  </si>
  <si>
    <t>Os estudos reforçam a necessidade de mecanismos fortes de governança, incluindo consentimento ao longo do ciclo de vida, rastreabilidade, direito ao esquecimento, transparência e monitoramento contínuo. Destaca-se a demanda por estruturas alinhadas a regulações como GDPR, com foco em responsabilidade, auditabilidade e mitigação de riscos. Abordagens como AI Bill of Materials e sistemas de monitoramento são propostas para fortalecer conformidade ética e legal.</t>
  </si>
  <si>
    <t>A governança é abordada mapeando desafios legais (GDPR e Lei de Direitos Autorais dos EUA) em estágios do ciclo de vida dos dados, enfatizando direitos como acesso, retificação e apagamento. A ética e a prestação de contas são reforçadas pela proposta de transparência via AIBOMs e pela necessidade de estratégias human-in-the-loop para mitigar efeitos colaterais imprevistos das medidas de proteção.</t>
  </si>
  <si>
    <t>Os estudos tratam governança e ética como elementos centrais, enfatizando a importância de consentimento claro, rastreabilidade dos dados e monitoramento contínuo para evitar violações. Abordagens inspiradas no GDPR, como direito ao esquecimento, transparência e mecanismos formais de responsabilização, são vistas como essenciais para regular sistemas de IA. Propõe-se inclusive modelos como um “AI Bill of Materials” para documentar licenças, consentimentos e usos de dados de forma auditável.</t>
  </si>
  <si>
    <t>Advancing Data Privacy in REST APIs: A Comparative Study of Machine Learning Techniques for PII Detection</t>
  </si>
  <si>
    <t>https://ieeexplore.ieee.org/document/11081062</t>
  </si>
  <si>
    <t>Akbar Sahata Sakapertana; Wan Muhafidz Faldi; Andi Mahardika; Ary Mazharuddin Shiddiqi</t>
  </si>
  <si>
    <t xml:space="preserve">A IA é aplicada para detectar automaticamente PII em respostas de REST APIs, usando modelos de machine learning para prevenir vazamentos e reforçar a conformidade com regulações como GDPR e a lei indonésia UU PDP. Os benefícios incluem maior segurança, precisão e suporte ao ciclo de desenvolvimento, enquanto os desafios envolvem escassez de dados, necessidade de modelos eficientes e dificuldade em lidar com dados semiestruturados. </t>
  </si>
  <si>
    <t>O estudo aplica técnicas de aprendizado de máquina, especificamente Support Vector Machines (SVM) e Naive Bayes, para detectar automaticamente Informações de Identificação Pessoal (PII) em respostas de APIs REST, visando a conformidade com regulamentações como GDPR e UU PDP. A estrutura de governança proposta integra essa detecção no ciclo de vida de desenvolvimento de software para garantir a qualidade do software e mitigar riscos de exposição de dados não estruturados transmitidos por APIs.</t>
  </si>
  <si>
    <t>A IA (Machine Learning, como SVM e Naive Bayes) é aplicada para detectar PII (Informação Pessoalmente Identificável) em respostas de REST APIs. O benefício principal é o aprimoramento da segurança da API, da qualidade do software e da conformidade com regulamentações como GDPR. O desafio é a escassez de datasets rotulados reais e a necessidade de otimizar modelos para detecção em tempo real.</t>
  </si>
  <si>
    <t xml:space="preserve">O estudo emprega principalmente SVM e Naive Bayes, utilizando TF-IDF para extração de características; cita também trabalhos relacionados que usam PLN, NER e modelos Transformer (como BERT) para detecção de dados sensíveis em textos. </t>
  </si>
  <si>
    <t>As técnicas principais empregadas são classificadores de Aprendizado de Máquina supervisionado, notadamente SVM e Naive Bayes, utilizando TF-IDF (Term Frequency-Inverse Document Frequency) para a extração de características de dados textuais em estruturas JSON. Além disso, o estudo utiliza uma abordagem de geração de dados sintéticos via uma API REST personalizada para criar datasets de treinamento, superando a escassez de dados rotulados reais</t>
  </si>
  <si>
    <t>As técnicas centrais de IA empregadas são os classificadores de Aprendizado de Máquina (ML): Support Vector Machines (SVM) e Naive Bayes. O Processamento de Linguagem Natural (NLP), em conjunto com a técnica TF-IDF, é usado para pré-processar e transformar os dados textuais semi-estruturados em vetores numéricos para a classificação.</t>
  </si>
  <si>
    <t xml:space="preserve">Entre os benefícios destacam-se aumento da precisão (SVM com ~90% de precisão), automação da detecção de PII e melhoria da segurança. Os desafios incluem falsos negativos, dificuldade para identificar PII com hashing, limitações de dados reais e dependência de dados sintéticos para treinamento. </t>
  </si>
  <si>
    <t>Os benefícios incluem alta precisão (o modelo SVM alcançou 90,11%) e eficiência computacional, tornando a solução viável para ambientes com recursos limitados e superando abordagens baseadas em regras que falham com dados dinâmicos. Os desafios citados envolvem a escassez de datasets públicos rotulados de PII, a dificuldade em detectar PIIs transformadas em hash e a complexidade de lidar com a natureza semi-estruturada das respostas de API.</t>
  </si>
  <si>
    <t>Os benefícios incluem o potencial de alta precisão (SVM com 90.11% de precisão e F1-score de 84.37%) e o uso de modelos leves para eficiência computacional em ambientes restritos. Os desafios envolvem a escassez de dados rotulados reais, a dificuldade dos modelos em identificar PII criptografada (hashed PII), e a necessidade de sistemas de detecção em tempo real.</t>
  </si>
  <si>
    <t xml:space="preserve">O estudo enfatiza conformidade com GDPR e UU PDP, destacando a importância de proteger PII e implementar mecanismos capazes de garantir segurança, prevenção de vazamentos e aderência regulatória. A abordagem reforça a responsabilidade no tratamento de dados, ainda que discussões éticas mais amplas sejam brevemente mencionadas. </t>
  </si>
  <si>
    <t>A governança é abordada através da necessidade crítica de conformidade com regulamentos globais (GDPR) e locais (UU PDP da Indonésia), focando na proteção contra exposição não intencional de dados sensíveis em trocas de dados via API. O estudo promove a ética e a responsabilidade ao integrar sistemas de detecção de PII no ciclo de vida de desenvolvimento de software, garantindo a segurança da API e a privacidade dos dados desde a concepção.</t>
  </si>
  <si>
    <t>A governança é abordada pela necessidade de o sistema garantir a conformidade com o GDPR (Regulamento Geral de Proteção de Dados) e a Lei de Proteção de Dados da Indonésia (UU PDP). O foco é em salvaguardar informações sensíveis para manter a qualidade e integridade do software. A regulamentação brasileira LGPD não é mencionada nas fontes.</t>
  </si>
  <si>
    <t>Ethical Challenges and Frameworks in AI-Driven Software Development and Testing</t>
  </si>
  <si>
    <t>https://ieeexplore.ieee.org/document/10903892</t>
  </si>
  <si>
    <t>Anujkumarsinh Donvir; Gaurav Sharma</t>
  </si>
  <si>
    <t>A IA é aplicada para apoiar decisões éticas no desenvolvimento e teste de software, atuando em análise de riscos, mitigação de vieses, transparência e segurança, com ferramentas de monitoramento contínuo e auditoria (pp. 1–3). Entre os benefícios estão eficiência, maior qualidade e identificação precoce de falhas éticas; os desafios envolvem vieses de dados, falta de transparência (black-box), privacidade, segurança e impacto social. A governança é discutida via diretrizes do IEEE, ISO, ACM e Comissão Europeia, enfatizando responsabilização, transparência e supervisão humana.</t>
  </si>
  <si>
    <t>A IA, através de GenAI e LLMs, é integrada ao ciclo de vida de desenvolvimento e teste (AI-STLC) para aumentar a eficiência , mas exige governança ética para mitigar riscos. Estruturas como o "Ethical AI Development Flow" emergem para integrar avaliações de impacto ético, transparência e justiça desde o design até a implantação, garantindo conformidade com padrões humanos e regulatórios.</t>
  </si>
  <si>
    <t>A IA (GenAI, LLMs) está sendo aplicada para acelerar o desenvolvimento e teste de software através da geração de código e identificação de defeitos. Os principais benefícios são maior produtividade e eficiência, mas os desafios incluem viés algorítmico, falta de transparência (caixa preta) e preocupações com privacidade de dados. A governança é estruturada em princípios como prestação de contas, transparência e design centrado no humano.</t>
  </si>
  <si>
    <t>O artigo destaca o uso de NLP para geração de testes, análise de requisitos e simulação de cenários negativos (p. 6); machine learning, especialmente modelos de deep learning, é citado no contexto de tomada de decisão e riscos éticos; sistemas baseados em XAI, ferramentas de detecção de viés e técnicas de privacidade como differential privacy, federated learning e homomorphic encryption são empregados para apoiar conformidade e auditoria ética (pp. 3–4).</t>
  </si>
  <si>
    <t>O estudo destaca o uso de IA Generativa (GenAI) e Grandes Modelos de Linguagem (LLMs) como ChatGPT e Gemini no desenvolvimento e teste de software. Para garantir a conformidade ética e técnica, são empregadas ferramentas de detecção de viés (ex: IBM AI Fairness 360), XAI (LIME, SHAP) e técnicas de preservação de privacidade como aprendizado federado.</t>
  </si>
  <si>
    <t>As técnicas centrais são Generative AI (GenAI) e Large Language Models (LLMs). Para a conformidade ética, são empregadas Explainable AI (XAI) para transparência, e ferramentas de Detecção e Mitigação de Viés como o IBM AI Fairness 360. Para a segurança, são cruciais técnicas de Privacy-Preserving como Differential Privacy e Aprendizado Federado.</t>
  </si>
  <si>
    <t>Os benefícios incluem maior produtividade, automação de testes, redução de erros, personalização e aumento da confiabilidade do software (p.1). Os desafios citados são vieses algorítmicos, falta de transparência, riscos de privacidade e segurança, possíveis impactos sociais, uso indevido (como deepfakes) e dificuldades de responsabilização quando decisões são autônomas (pp. 2–5).</t>
  </si>
  <si>
    <t>Os benefícios incluem aumento da produtividade, identificação rápida de defeitos e personalização. Os desafios envolvem vieses algorítmicos em dados de treinamento, falta de transparência ("caixa preta"), riscos à privacidade e segurança de dados, além de impactos sociais negativos como perda de empregos e disseminação de deepfakes.</t>
  </si>
  <si>
    <t>Os benefícios são o aumento da produtividade, a eficiência e a criação de software mais confiável com qualidade melhorada. Os desafios envolvem o viés algorítmico inerente aos dados históricos de treinamento, a falta de transparência dos modelos "caixa preta", e as sérias preocupações com segurança e privacidade de dados.</t>
  </si>
  <si>
    <t>O estudo aborda governança enfatizando accountability, transparência, auditorias contínuas, ética desde a fase de design (ethics by design) e conformidade com princípios de privacidade e segurança (pp. 2–3). Embora não cite LGPD e GDPR nominalmente, discute requisitos equivalentes das diretrizes europeias de “Trustworthy AI”, incluindo privacidade, governança de dados, não discriminação e responsabilidade — alinhados às exigências de normas como GDPR e à abordagem de proteção de dados adotada pela LGPD.</t>
  </si>
  <si>
    <t>A governança é abordada pela adoção de frameworks (IEEE, diretrizes da UE, ISO) que priorizam o Human-Centered Design, accountability e transparência. O estudo propõe a integração de auditorias contínuas, "Ethics by Design" e o ciclo de vida de teste de software de IA (AI-STLC) para garantir a adesão a regulamentações e evitar discriminação ou danos.</t>
  </si>
  <si>
    <t>A governança exige prestação de contas e transparência ao longo do ciclo de vida, com uso de frameworks (ex: Comissão Europeia) focados em privacidade e governança de dados. A ética é abordada com o objetivo de evitar viés e usando XAI para explicar decisões. A adesão regulatória é vital, mas as regulamentações LGPD e GDPR não são mencionadas diretamente nas fontes.</t>
  </si>
  <si>
    <t>Índia</t>
  </si>
  <si>
    <t>Importance of IoHT in Intelligent Healthcare Facilities: Improving Patient Outcomes through the Use of Networked Medical Equipment</t>
  </si>
  <si>
    <t>https://ieeexplore.ieee.org/document/11076655</t>
  </si>
  <si>
    <t>Shanmugam Muthu; V. Samuthira Pandi; Shobana D; Ala H. Jaber; Jayant Giri; G. Karthikeyan</t>
  </si>
  <si>
    <t xml:space="preserve">A IA aparece no artigo integrada ao IoHT para análises em tempo real, diagnósticos automatizados, monitoramento contínuo e detecção precoce de riscos, o que fortalece práticas de conformidade, segurança e precisão clínica. Benefícios incluem eficiência, redução de erros e decisões mais rápidas; desafios envolvem segurança, interoperabilidade, privacidade e adesão a normas como HIPAA/GDPR. </t>
  </si>
  <si>
    <t>O documento foca no uso de IA e IoHT para melhorar resultados clínicos e operacionais, e não explicitamente na automação de processos de compliance. No entanto, a integração da IA é citada como capaz de fortalecer a cibersegurança para a transferência e armazenamento seguro de dados de saúde, apoiando a conformidade com regulamentos como HIPAA e GDPR. A governança emerge através da necessidade de arquiteturas seguras que integrem dispositivos médicos, redes de dados e plataformas em nuvem.</t>
  </si>
  <si>
    <t>A IA é aplicada em IoHT para análise de dados em tempo real, diagnóstico precoce e otimização de recursos. O benefício é o aprimoramento do cuidado e a redução de custos. Os desafios incluem cibersegurança e interoperabilidade, e a governança exige a conformidade com o HIPAA e GDPR e o uso de blockchain.</t>
  </si>
  <si>
    <t xml:space="preserve">O artigo destaca o uso de machine learning, IA aplicada a diagnósticos, sistemas de previsão, análise em tempo real e, indiretamente, técnicas como análise preditiva, visão computacional e integração com edge/cloud computing para suporte a conformidade e segurança. </t>
  </si>
  <si>
    <t>O texto destaca o uso de Aprendizado de Máquina (Machine Learning) e análises preditivas para examinar grandes conjuntos de dados de saúde, detectar padrões e auxiliar na tomada de decisão clínica. Embora não cite IA especificamente para tarefas de conformidade, menciona o uso de Blockchain e soluções de cibersegurança para garantir a privacidade e atender a requisitos regulatórios.</t>
  </si>
  <si>
    <t>As técnicas empregadas são Inteligência Artificial e algoritmos de Machine Learning, focados em análise preditiva e diagnósticos. Para a conformidade (segurança/privacidade), são cruciais soluções de cibersegurança, blockchain e protocolos de criptografia robustos.</t>
  </si>
  <si>
    <t xml:space="preserve">Entre os benefícios estão redução de custos, maior precisão, respostas rápidas, menor latência, monitoramento contínuo e decisões clínicas mais seguras. Os desafios incluem cibersegurança, interoperabilidade limitada, privacidade sensível dos pacientes, riscos de falhas ou ataques e altos custos de infraestrutura. </t>
  </si>
  <si>
    <t>Os benefícios gerais da IA/IoHT incluem redução de custos médicos, melhoria na precisão diagnóstica (reduzindo erros humanos) e eficiência operacional. Os desafios centrais que afetam a conformidade envolvem riscos de cibersegurança, questões de interoperabilidade de dados, privacidade de informações sensíveis e a necessidade de aderência a regulações estritas.</t>
  </si>
  <si>
    <t>Os benefícios são a melhora da precisão (92%-98% em IoHT vs. 78%-88% em dispositivos tradicionais), a redução da latência na transmissão de dados e a otimização de custos. Os desafios incluem riscos de cibersegurança, interoperabilidade, e a complexidade de sustentar a melhoria ao longo do tempo.</t>
  </si>
  <si>
    <t xml:space="preserve">O estudo aborda governança enfatizando compliance com GDPR e HIPAA, uso de criptografia, blockchain para segurança dos dados, práticas de proteção contra ameaças cibernéticas e necessidade de protocolos padronizados que garantam transparência, responsabilidade e uso ético dos dados de pacientes. </t>
  </si>
  <si>
    <t>O estudo enfatiza que parcerias entre desenvolvedores, instituições de saúde e reguladores são necessárias para abordar questões técnicas e éticas. A governança de dados é tratada através da exigência de criptografia forte e uso de Blockchain para garantir registros descentralizados e invioláveis, assegurando a conformidade com leis como HIPAA e GDPR.</t>
  </si>
  <si>
    <t>A governança e a ética são abordadas pela necessidade de conformidade regulatória com o GDPR e o HIPAA. O foco é garantir a segurança e privacidade dos dados sensíveis e promover parcerias para abordar questões éticas e assegurar o acesso equitativo. A regulamentação brasileira LGPD não é mencionada nas fontes.</t>
  </si>
  <si>
    <t>Paquistão</t>
  </si>
  <si>
    <t>Investigating the Potential of AI-Driven Data Analytics for eARMS: A Survey-Based Research</t>
  </si>
  <si>
    <t>https://ieeexplore.ieee.org/document/10823524</t>
  </si>
  <si>
    <t>Nauman Ali Khan; Ijaz Bashir; Mudassar Ali Khan; Waqas Wazir; Ikram Ud Din; Suhaidi Hassan</t>
  </si>
  <si>
    <t xml:space="preserve">O artigo mostra que a IA é aplicada em sistemas ERP para apoiar análises de dados, detecção de padrões, previsão, identificação de riscos e suporte à decisão, permitindo maior precisão, rapidez e automação em processos organizacionais, inclusive aqueles relacionados à conformidade regulatória. Os benefícios incluem melhor tomada de decisão, automação de tarefas, detecção de anomalias e segurança; já os desafios envolvem qualidade dos dados, integração, privacidade e limitações técnicas. </t>
  </si>
  <si>
    <t>O documento foca na integração da IA em sistemas ERP para gestão de riscos e detecção de fraudes (compliance financeiro e cibernético) em tempo real, utilizando análises preditivas para melhorar a tomada de decisão. Os benefícios incluem maior eficiência e mitigação de riscos, enquanto os desafios centrais são a qualidade dos dados, privacidade e integração de sistemas, sem detalhar profundamente estruturas de governança específicas.</t>
  </si>
  <si>
    <t>A IA (ML, NLP) é aplicada para aprimorar a tomada de decisões em sistemas ERP, automatizando tarefas de análise, limpeza e integração de dados. Os principais benefícios são a detecção de fraudes e cibersegurança em tempo real e a redução de custos. Os desafios centrais são a segurança e privacidade de dados sensíveis e a garantia de que as soluções atendam aos padrões legais.</t>
  </si>
  <si>
    <t xml:space="preserve">O estudo destaca o uso de machine learning, deep learning, data mining, natural language processing (NLP) e cognitive computing, aplicados à previsão de demanda, análise de dados não estruturados, detecção de fraude, otimização de processos e suporte às análises críticas de ERP. </t>
  </si>
  <si>
    <t>As técnicas destacadas para automação e análise em sistemas corporativos incluem Machine Learning para detecção de fraudes e previsão de demanda, e Processamento de Linguagem Natural (NLP) para processar dados não estruturados como e-mails e logs. Também são enfatizados o Data Mining para segmentação e padrões, e o Deep Learning para classificação complexa, sem menção explícita a "Sistemas Especialistas" como categoria principal.</t>
  </si>
  <si>
    <t>As técnicas mais empregadas são o Machine Learning (ML) e o Processamento de Linguagem Natural (NLP). O ML é crucial para detecção de fraudes e análise preditiva (ex: manutenção), enquanto o NLP ajuda a converter dados não estruturados (emails, logs) em insights valiosos para a decisão.</t>
  </si>
  <si>
    <t xml:space="preserve">Os benefícios relatados incluem maior precisão analítica, redução de custos, melhoria na previsão, automação de tarefas, detecção de fraudes e aumento da eficiência. Os desafios abrangem viés algorítmico, falta de qualidade dos dados, problemas de integração, escassez de talentos técnicos, questões de privacidade e segurança, além da necessidade de mudanças organizacionais. </t>
  </si>
  <si>
    <t>Os principais benefícios citados são a melhoria na tomada de decisão, redução de custos operacionais, detecção automatizada de fraudes e maior precisão nas previsões através de dados históricos. Os desafios enfrentados incluem a integração e qualidade de dados dispersos, escassez de talentos qualificados, viés algorítmico e riscos severos à privacidade e segurança das informações.</t>
  </si>
  <si>
    <t>Os benefícios principais incluem o aumento da precisão e eficiência da decisão, redução de custos e melhoria da produtividade. Os desafios são a privacidade e segurança de dados sensíveis, a qualidade e integração das informações e a necessidade de evitar viés e discriminação algorítmica.</t>
  </si>
  <si>
    <t xml:space="preserve">O artigo discute preocupações éticas e de governança relacionadas à privacidade, segurança de dados sensíveis e uso responsável da IA, destacando a necessidade de políticas, salvaguardas e práticas adequadas para mitigar riscos e evitar abuso ou discernimento incorreto. Embora não mencione especificamente LGPD/GDPR, enfatiza a importância de conformidade, proteção de dados e transparência nos processos decisórios automatizados. </t>
  </si>
  <si>
    <t>O estudo aborda a ética e a governança alertando sobre a necessidade de proteger dados sensíveis (financeiros e de funcionários) contra uso indevido e a importância de evitar viés e discriminação nos algoritmos de IA. Sugere-se o desenvolvimento de "IA explicável" e políticas de conformidade legal, mas o texto não cita nominalmente regulamentações específicas como a LGPD ou o GDPR.</t>
  </si>
  <si>
    <t>A governança é abordada pela necessidade de resolver questões éticas e preocupações com a privacidade e garantir que as soluções sejam legais e atendam aos padrões. A transparência e a prestação de contas são foco para o futuro, com a necessidade de desenvolver modelos de IA explicável e um código de ética. As regulamentações específicas LGPD e GDPR não são mencionadas nas fontes.</t>
  </si>
  <si>
    <t>Afeganistão</t>
  </si>
  <si>
    <t>Securing social network user data in large language model deployments: challenges and best practices</t>
  </si>
  <si>
    <t>https://www.scopus.com/pages/publications/105016088492?origin=resultslist</t>
  </si>
  <si>
    <t>Jalali, Nasir Ahmad, Hongsong, Chen</t>
  </si>
  <si>
    <t>Scopus</t>
  </si>
  <si>
    <t xml:space="preserve">O artigo não trata diretamente de conformidade regulatória, mas descreve o uso de IA — especialmente LLMs — para análise, processamento e proteção de dados sensíveis, destacando benefícios como automação de tarefas, capacidade de identificar riscos de privacidade e desafios como vazamento de dados, ataques adversariais e necessidade de governança robusta. </t>
  </si>
  <si>
    <t>O estudo não foca no uso de IA para automatizar conformidade externa, mas sim na aplicação de Aprendizado Federado e Blockchain para garantir a conformidade e privacidade dentro dos próprios LLMs. A governança é estruturada através de controle de acesso rigoroso, minimização de dados e comitês de ética para mitigar riscos de vazamento de informações sensíveis durante o treinamento e uso dos modelos.</t>
  </si>
  <si>
    <t>A IA (LLMs) é aplicada para gerar texto e raciocínio lógico em setores críticos, como saúde e direito, auxiliando na tomada de decisões sofisticada. O benefício é a eficiência e precisão, mas o desafio central é o risco de vazamento de informações sensíveis que os LLMs podem memorizar. A governança emerge através de melhores práticas e do estabelecimento de políticas estritas de controle de acesso e governança de dados para proteger as informações.</t>
  </si>
  <si>
    <t xml:space="preserve">As técnicas abordadas incluem modelos de linguagem baseados em transformers, aprendizado profundo, detecção baseada em black-box probing, métodos criptográficos (homomorphic encryption, MPC, FSS) e técnicas de privacidade como differential privacy. </t>
  </si>
  <si>
    <t>As técnicas mais empregadas para garantir a privacidade e conformidade em LLMs incluem o Aprendizado Federado (para treinamento descentralizado), Criptografia Homomórfica e Blockchain. Para tarefas de predição e detecção de vulnerabilidades de segurança, o estudo destaca o desempenho superior do algoritmo Random Forest em comparação com SVM e Redes Neurais.</t>
  </si>
  <si>
    <t>A tecnologia central são os Large Language Models (LLMs), que utilizam redes neurais complexas, como BERT e a série GPT. Para a conformidade (segurança e privacidade), as técnicas de proteção (PETs) mais empregadas incluem o Aprendizado Federado (FL), Differential Privacy, Criptografia Homomórfica, e Blockchain para rastreabilidade e controle de acesso.</t>
  </si>
  <si>
    <t xml:space="preserve">Os benefícios incluem maior capacidade de análise, automação e eficiência na detecção de riscos e mitigação de ataques; já os desafios envolvem vazamento de dados, memorização de informações sensíveis, ataques como prompt injection, model extraction, viés, falta de interpretabilidade e riscos de privacidade durante treinamento e inferência. </t>
  </si>
  <si>
    <t>Os benefícios citados incluem a proteção de dados descentralizada e alta precisão em tarefas de linguagem, enquanto os desafios principais são o alto custo computacional da criptografia e a latência na sincronização de dados. A literatura aponta riscos de ataques de injeção de prompt e vazamento de dados, além da dificuldade de convergência de modelos em ambientes de aprendizado federado.</t>
  </si>
  <si>
    <t>Os benefícios são a precisão e fluência na geração de texto e o aprimoramento da conformidade regulatória pela descentralização e criptografia dos dados, reduzindo riscos de exposição centralizada. Os desafios incluem o viés algorítmico, a vulnerabilidade a ataques, e a sobrecarga computacional causada por técnicas de proteção como FHE e Computação Segura Multi-Parte (MPC).</t>
  </si>
  <si>
    <t xml:space="preserve">O estudo enfatiza práticas de governança como controle de acesso, anonimização, comitês éticos, federated learning e técnicas de segurança que buscam garantir transparência, responsabilidade e proteção de dados, alinhando-se a princípios exigidos por legislações como GDPR/LGPD, embora não as cite diretamente. </t>
  </si>
  <si>
    <t>O artigo aborda a governança citando explicitamente as multas do GDPR aplicadas à Meta como exemplo da necessidade de conformidade legal e propõe o uso de Blockchain para garantir registros imutáveis e transparência. A ética é tratada através da recomendação de comitês de controle de privacidade e políticas de anonimização para assegurar a prestação de contas e proteção de dados pessoais.</t>
  </si>
  <si>
    <t>Os estudos abordam a governança focando na construção de uma IA confiável e na necessidade de alinhar a inovação com padrões éticos e sociais. A prestação de contas e a transparência são suportadas por estruturas de controle de acesso e pelo uso de Blockchain para rastreamento. O estudo menciona explicitamente a adesão ao GDPR, mas a regulamentação brasileira LGPD não é mencionada.</t>
  </si>
  <si>
    <t>Grécia</t>
  </si>
  <si>
    <t>Designing connected and automated vehicles around legal and ethical concerns: Data protection as a corporate social responsibility</t>
  </si>
  <si>
    <t>https://www.scopus.com/pages/publications/85104660519?origin=resultslist</t>
  </si>
  <si>
    <t>Balboni, Paolo;Francis, Kate;Botsi, Anastasia;Barata, Martim Taborda</t>
  </si>
  <si>
    <t>Países Baixo e Itália</t>
  </si>
  <si>
    <t>O artigo mostra que sistemas baseados em IA em veículos conectados e autônomos desafiam diretamente a conformidade com GDPR, ePrivacy e NIS, exigindo controles sobre finalidades, minimização, segurança e transparência. A IA amplia riscos devido ao grande volume e à autonomia do processamento, exigindo estruturas de governança com avaliações de impacto, accountability, segurança por design e ética incorporada ao desenvolvimento.</t>
  </si>
  <si>
    <t>O texto não aborda o uso de IA para automatizar a conformidade, mas sim os desafios que a IA em veículos (CAVs) impõe à conformidade regulatória. A estrutura de governança proposta é a "Proteção de Dados como Responsabilidade Social Corporativa" (DPCSR), que integra ética e direitos humanos no ciclo de vida do desenvolvimento para mitigar riscos legais.</t>
  </si>
  <si>
    <t>A IA em veículos conectados e automatizados (CAVs) é usada para processamento autônomo de dados e realizar funções de condução, mas apresenta novos desafios de conformidade regulatória e legal em relação ao GDPR e ePrivacy. Os desafios incluem o conflito da necessidade de grandes datasets para o treinamento da IA com o princípio da minimização de dados, e tensões com o princípio da limitação de finalidade. A governança é abordada por uma estrutura holística chamada "Data Protection as a Corporate Social Responsibility" (DPCSR), que visa incorporar ética e transparência no design</t>
  </si>
  <si>
    <t>O texto discute IA de forma ampla, enfatizando algoritmos e sistemas autônomos usados para interpretar dados de sensores, apoiar decisões e operar funções automatizadas. Embora não detalhe algoritmos específicos, menciona sistemas automatizados baseados em machine learning que dependem de grandes conjuntos de dados e processamento contínuo, exigindo governança rigorosa de dados e proteção por design.</t>
  </si>
  <si>
    <t>O documento não cita técnicas de IA utilizadas para automatizar tarefas de conformidade. Ele menciona o uso de "conjuntos de dados relativamente grandes para treinar e alavancar funcionalidades de IA" (Machine Learning) para a operação autônoma dos veículos, destacando o conflito dessa prática com o princípio da minimização de dados.</t>
  </si>
  <si>
    <t>O foco do estudo é a aplicação da IA em veículos CAVs, onde são utilizados sensores e IA para funções autônomas de condução. A IA requer o uso de grandes conjuntos de dados para treinar e alavancar suas funcionalidades, sendo o uso de dados sintéticos uma solução mencionada para o treinamento de modelos de CAVs, garantindo precisão e segurança. O texto não especifica quais técnicas de IA (como PLN ou Aprendizado de Máquina) são empregadas para a automação geral de tarefas de conformidade (RegTech)</t>
  </si>
  <si>
    <t>Os benefícios incluem maior eficiência operacional, funcionalidades avançadas e potencial melhora em segurança e mobilidade. Os desafios centrais são conflitos com princípios de proteção de dados (minimização, limitação de finalidade, transparência), riscos de segurança devido ao grande ecossistema conectado, necessidade de grandes volumes de dados e risco de usos incompatíveis. Também há complexidade no cumprimento de obrigações legais e no gerenciamento de múltiplos atores envolvidos.</t>
  </si>
  <si>
    <t>O texto foca nos desafios de conformidade da IA, citando conflitos com a limitação de finalidade devido ao processamento autônomo , dificuldades com a minimização de dados e a falta de transparência devido à complexidade dos algoritmos ("caixa preta"). Benefícios citados referem-se à segurança viária e impacto ambiental dos CAVs, não à automação da conformidade.</t>
  </si>
  <si>
    <t>Os benefícios associados à IA em CAVs incluem o potencial de aumentar a segurança rodoviária, reduzir o impacto ambiental, melhorar a mobilidade e maximizar os benefícios para os usuários. Os desafios principais são a complexidade dos sistemas de IA, que compromete a transparência e a interpretabilidade das decisões automatizadas, e a criação de conflitos regulatórios, como oposição aos princípios de minimização de dados e limitação de finalidade. Preocupações éticas como viés e discriminação são abordadas pelo requisito de ter atividades de processamento de dados confiáveis que ativamente se oponham a eles</t>
  </si>
  <si>
    <t>Os estudos reforçam que governança ética exige transparência, justificabilidade das decisões algorítmicas, supervisão humana, fairness by design, data protection by design and by default e avaliações de impacto (DPIA). A conformidade com GDPR é tratada como requisito mínimo, devendo ser complementada por práticas éticas que assegurem responsabilidade, mitigação de riscos, segurança robusta e respeito aos direitos fundamentais no uso de IA em sistemas complexos como CAVs.</t>
  </si>
  <si>
    <t>O estudo foca no GDPR e propõe a integração de "Fairness by Design", transparência e supervisão humana no design dos veículos. A governança exige que os controladores demonstrem responsabilidade (accountability) e forneçam informações explicáveis sobre a lógica algorítmica para garantir um processamento justo e confiável.</t>
  </si>
  <si>
    <t>A governança e a ética são cruciais no uso da IA, sendo promovida uma abordagem holística, Data Protection as a Corporate Social Responsibility (DPCSR), que integra ética, justiça (fairness), transparência e segurança no design, indo além dos requisitos mínimos do GDPR. A prestação de contas (accountability) é um princípio fundamental do GDPR, exigindo que os atores (fabricantes, desenvolvedores) demonstrem que os dados são processados de forma transparente, sendo um desafio a alocação clara dos papéis de controlador e processador. A transparência é essencial para que o sujeito dos dados entenda o processamento e a lógica envolvida nas decisões automatizadas da IA, sendo sugerido o uso de ícones padronizados para comunicar a coleta de dados. A regulamentação brasileira LGPD não é mencionada; o foco é o GDPR, ePrivacy e NISD.</t>
  </si>
  <si>
    <t>Gana</t>
  </si>
  <si>
    <t>The Role of AI in Shaping the Discharge of Duties of University Administrators: A Systematic Review</t>
  </si>
  <si>
    <t>https://www.scopus.com/pages/publications/105015343709?origin=resultslist</t>
  </si>
  <si>
    <t>Buame, Juliana Abilla, Tiika, Bernard John, Lotsu, Setor Aku</t>
  </si>
  <si>
    <t xml:space="preserve">O artigo mostra que IA é aplicada para apoiar decisões administrativas, automatizar tarefas, analisar grandes volumes de dados e monitorar processos institucionais, aumentando eficiência e precisão. Os principais desafios envolvem privacidade, vieses algorítmicos, transparência e ausência de estruturas éticas e legais claras, exigindo governança adequada. </t>
  </si>
  <si>
    <t>A IA é aplicada para monitorar a conformidade institucional (como frequência e reuniões) e automatizar tarefas administrativas, exigindo estruturas de governança alinhadas a leis de proteção de dados. Os benefícios incluem maior eficiência e produtividade, enquanto os desafios envolvem déficits de infraestrutura, falta de expertise técnica e riscos de vigilância injustificada ou uso indevido de dados.</t>
  </si>
  <si>
    <t>A IA (ML, NLP, predictive analytics) é aplicada em sistemas de informação universitários para aprimorar a tomada de decisão e automatizar tarefas de gestão como monitoramento de desempenho estudantil. Os benefícios são o aumento da eficiência, produtividade e a personalização do aprendizado. Os desafios incluem infraestrutura deficitária, falta de expertise e a ausência de frameworks éticos/legais específicos.</t>
  </si>
  <si>
    <t xml:space="preserve">As técnicas mais citadas incluem machine learning, processamento de linguagem natural (NLP), chatbots, assistentes virtuais, sistemas de recomendação, analytics, e modelos preditivos utilizados para automação de análises, atendimento e gestão de dados. </t>
  </si>
  <si>
    <t>As técnicas predominantes incluem Machine Learning e Análise Preditiva para previsão de desempenho e detecção de riscos, além de chatbots baseados em Processamento de Linguagem Natural (PLN) para serviços de atendimento. Essas ferramentas são integradas a Sistemas de Informação Estudantil (SIS) para gerenciar dados, verificar registros e automatizar avaliações.</t>
  </si>
  <si>
    <t>As técnicas mais empregadas são o Machine Learning e Processamento de Linguagem Natural (NLP). Elas são usadas em Análise Preditiva para estimar taxas de abandono e desempenho, e em chatbots/assistentes virtuais para aprimorar a comunicação e satisfação do usuário. O uso de Sistemas de Informação Estudantil (SIS) também é fundamental para proteger e verificar registros de dados.</t>
  </si>
  <si>
    <t xml:space="preserve">Os benefícios relatados incluem aumento de eficiência administrativa, automação de processos, apoio à decisão, personalização e melhoria na gestão de informações. Já os desafios envolvem custos, falta de infraestrutura, limitações técnicas, vieses algorítmicos, riscos à privacidade, pouca transparência e resistência institucional. </t>
  </si>
  <si>
    <t>Os benefícios centrais são o aumento da eficiência, precisão em previsões orçamentárias e detecção de plágio, permitindo que administradores foquem em tarefas estratégicas. Os desafios críticos incluem o viés algorítmico (discriminação), a falta de interpretabilidade ("caixa preta"), violações de privacidade e ambiguidades legais sobre responsabilidade em decisões automatizadas.</t>
  </si>
  <si>
    <t>Os benefícios são a melhoria da eficiência institucional, a redução da carga de trabalho e o fornecimento de insights baseados em dados para decisões mais rápidas. Os desafios críticos são a privacidade e segurança de dados sensíveis, o viés em algoritmos que pode perpetuar injustiças, e a falta de transparência que transforma os sistemas em "caixas pretas".</t>
  </si>
  <si>
    <t xml:space="preserve">Os estudos destacam que a adoção de IA exige estruturas de governança que garantam transparência, justiça, responsabilidade e proteção de dados, alinhando-se a princípios presentes em normas como GDPR e leis nacionais de proteção de dados. O artigo alerta que a ausência de diretrizes éticas e legais pode gerar discriminação, violações de privacidade e riscos à accountability. </t>
  </si>
  <si>
    <t>Os estudos abordam a governança exigindo transparência (explicabilidade), justiça e responsabilidade para evitar discriminação algorítmica e manter a confiança pública nas instituições. A ética é tratada através da necessidade estrita de adesão a regulamentações de dados, citando explicitamente o GDPR e a Lei de Proteção de Dados de Gana (Act 843) como referenciais.</t>
  </si>
  <si>
    <t>A governança exige que os administradores garantam a transparência, a prestação de contas e o cumprimento dos princípios éticos de decência humana. A adesão regulatória explícita foca no GDPR (UE) e na Lei de Proteção de Dados de Gana, sendo que o estudo destaca o risco de violação de direitos sem frameworks legais específicos. A regulamentação brasileira LGPD não é mencionada nas fontes.</t>
  </si>
  <si>
    <t>Suíça</t>
  </si>
  <si>
    <t>Impact of EU Laws on AI Adoption in Smart Grids: A Review of Regulatory Barriers, Technological Challenges, and Stakeholder Benefits</t>
  </si>
  <si>
    <t>https://www.scopus.com/pages/publications/105008942662?origin=resultslist</t>
  </si>
  <si>
    <t>Jørgensen, Bo Nørregaard, Gunasekaran, Saraswathy Shamini, Ma, Zheng Grace</t>
  </si>
  <si>
    <t>Dinamarca</t>
  </si>
  <si>
    <t>A IA é aplicada em smart grids para atender exigências regulatórias como GDPR, AI Act e NIS2, ajudando no processamento seguro de dados, na detecção de anomalias e na automação de decisões sob requisitos de transparência e supervisão humana. Os benefícios incluem maior confiança dos consumidores, melhor segurança e operação mais eficiente. Os desafios envolvem forte carga regulatória, altos custos de conformidade, exigências de explicabilidade, proteção de dados e responsabilidade legal. Governança é estruturada por GDPR, AI Act, Data Act, DGA e diretivas de cibersegurança, que impõem regras de transparência, gestão de riscos, privacidade e accountability.</t>
  </si>
  <si>
    <t>A IA é aplicada para monitorar a implementação de políticas e metas de eficiência energética, apoiada por estruturas como o Data Governance Act que facilitam o compartilhamento seguro de dados. Os benefícios incluem maior estabilidade da rede e confiança do consumidor, enquanto os desafios envolvem altos custos de conformidade, barreiras regulatórias de privacidade e a necessidade de governança de dados robusta.</t>
  </si>
  <si>
    <t>A IA é aplicada em smart grids para análise preditiva, controle autônomo da rede e otimização de energias renováveis. Os benefícios incluem maior estabilidade da rede e redução de custos. Os desafios são a conformidade com o GDPR, cibersegurança (NIS2) e a necessidade de transparência algorítmica (AI Act). A governança é estruturada pelas leis da UE (GDPR, AI Act, NIS2) para garantir uma IA confiável.</t>
  </si>
  <si>
    <t>O artigo menciona o uso de machine learning, deep learning, detecção de anomalias, previsão de demanda, controle autônomo e técnicas de aprendizado distribuído como federated learning para respeitar a privacidade. Também discute IA explicável (XAI), modelos híbridos e sistemas automatizados de decisão aplicados ao gerenciamento de dados e segurança em redes elétricas.</t>
  </si>
  <si>
    <t>As técnicas mais empregadas incluem Machine Learning e Deep Learning para análises preditivas e detecção de anomalias em tempo real , além de Federated Learning para treinar modelos de forma descentralizada preservando a privacidade. O estudo também cita o uso de sistemas especialistas (baseados em regras) e IA explicável (XAI) para garantir a interpretabilidade das decisões operacionais</t>
  </si>
  <si>
    <t>As técnicas de IA mais empregadas são o Machine Learning para análise preditiva e controle autônomo da rede. Para conformidade (privacidade e segurança), são explorados o Aprendizado Federado e o Edge Computing para processar dados descentralizadamente. O GDPR e o AI Act exigem o uso de anonimização/pseudonimização e IA Explicável (XAI) para transparência.</t>
  </si>
  <si>
    <t>Os principais benefícios incluem maior eficiência do sistema, confiabilidade da rede, redução de custos operacionais, otimização de recursos e aumento da confiança dos usuários por meio de práticas transparentes e seguras. Os desafios envolvem privacidade, riscos de viés, dificuldades de interpretabilidade, elevados custos de conformidade, incerteza jurídica, integração de dados, interoperabilidade limitada e exigências rigorosas de cibersegurança.</t>
  </si>
  <si>
    <t>Os principais benefícios citados são a melhoria da estabilidade da rede, otimização de custos operacionais e alinhamento com metas de sustentabilidade. Já os desafios incluem requisitos rigorosos de proteção de dados (GDPR), a necessidade de transparência algorítmica (explicabilidade), riscos de cibersegurança e incertezas sobre responsabilidade civil em decisões autônomas.</t>
  </si>
  <si>
    <t>Os benefícios são a melhoria da estabilidade e resiliência da rede, otimização de custos e aumento da confiança do consumidor. Os desafios incluem o custo e a sobrecarga de conformidade (DPIAs e AI Act), cibersegurança (ataques adversários), e a necessidade de interpretabilidade (problema black-box) dos algoritmos.</t>
  </si>
  <si>
    <t>Os estudos abordados reforçam a necessidade de prestação de contas, transparência, explicabilidade, supervisão humana e proteção de dados alinhadas ao GDPR e ao AI Act. A governança enfatiza privacy by design, avaliações de impacto (DPIA), regras claras de responsabilidade, certificações de cibersegurança e práticas de uso ético para garantir confiança, segurança e conformidade com normas como GDPR, NIS2 e legislação europeia emergente.</t>
  </si>
  <si>
    <t>Os estudos abordam a governança através do EU AI Act, que exige supervisão humana, avaliação de riscos e transparência para sistemas de IA de alto risco em infraestruturas críticas. A ética e a conformidade com o GDPR são tratadas como fundamentais para uma "IA confiável", exigindo práticas de privacy-by-design e transparência algorítmica para garantir a prestação de contas e a confiança do consumidor.</t>
  </si>
  <si>
    <t>A ética e a governança são cruciais para garantir uma IA confiável e incluem mandatos de transparência, prestação de contas (accountability) e supervisão humana. O estudo foca intensamente na adesão ao GDPR (privacidade) e ao EU AI Act (risco e transparência), com o objetivo de construir a confiança do consumidor. A regulamentação brasileira LGPD não é mencionada nas fontes.</t>
  </si>
  <si>
    <t>The Development and Construction of City Information Modeling (CIM): A Survey from Data Perspective</t>
  </si>
  <si>
    <t>https://www.scopus.com/pages/publications/105004887982?origin=resultslist</t>
  </si>
  <si>
    <t>Yu, Wenya, Zhou, Xiaowei, Wang, Dongsheng, Dong, Junyu</t>
  </si>
  <si>
    <t>China</t>
  </si>
  <si>
    <t xml:space="preserve">A IA não é o foco direto do estudo, mas aparece integrada a sistemas que dependem de rastreabilidade, auditoria e governança de dados para garantir conformidade regulatória em ambientes multi-cloud. Os benefícios incluem transparência, imutabilidade e auditoria confiável via blockchain. Os desafios envolvem interoperabilidade, segurança e integridade de dados distribuídos. </t>
  </si>
  <si>
    <t>A IA é integrada ao CIM para otimizar a gestão urbana e ambiental via análise preditiva e fusão de dados, oferecendo eficiência operacional, embora enfrente desafios de privacidade e silos de dados. A governança exige estruturas éticas e padronização para garantir a segurança e conformidade na integração de dados heterogêneos.</t>
  </si>
  <si>
    <t>A IA é integrada para aprimorar a governança urbana e os serviços inteligentes em sistemas como o CIM (City Information Modeling). Os benefícios são a melhoria da eficiência na tomada de decisões e a otimização da alocação de recursos. Os principais desafios são a segurança de dados, a proteção da privacidade e a necessidade de estruturas éticas para a governança de dados urbanos.</t>
  </si>
  <si>
    <t>Não</t>
  </si>
  <si>
    <t>ChatGPT acertou ao dizer que o artigo usa Blockchain/Contratos e não técnicas de IA avançadas (NLP/ML). Gemini alucinou listando "Deep Learning/ML" como técnicas centrais, contradizendo a validação humana.</t>
  </si>
  <si>
    <t xml:space="preserve">O artigo não emprega técnicas de IA como NLP ou ML; em vez disso, utiliza blockchain, criptografia, hashing, smart contracts e mecanismos de rastreamento para assegurar conformidade, integridade e controle de dados. A automação decorre do uso de contratos inteligentes e monitoramento distribuído. </t>
  </si>
  <si>
    <t>Os principais benefícios são a melhoria na eficiência operacional urbana, alocação otimizada de recursos e suporte à decisão científica baseada em dados em tempo real. Os desafios críticos incluem a proteção da privacidade, a falta de interpretabilidade ("caixa preta") dos algoritmos de IA e os altos custos computacionais para processamento em larga escala.</t>
  </si>
  <si>
    <t>As técnicas centrais de IA utilizadas incluem Machine Learning (ML) e Deep Learning para análise de extensos datasets urbanos, e Data Mining para oferecer insights prospectivos. Tecnologias como Reinforcement Learning (RL) e Graph Neural Networks (GNNs) estão sendo exploradas para otimização e integração de dados. Blockchain e Federated Learning (FL) são empregadas para aprimorar a segurança e a privacidade dos dados.</t>
  </si>
  <si>
    <t xml:space="preserve">Os benefícios apresentados incluem maior transparência, confiabilidade, detecção de anomalias, redução de manipulações e auditoria contínua. Os desafios abrangem overhead computacional, complexidade de integração entre provedores, riscos de escalabilidade e segurança em ambientes federados. </t>
  </si>
  <si>
    <t>Os benefícios são a melhoria da eficiência operacional, a otimização da alocação de recursos e o suporte para tomada de decisões mais precisas. Os desafios incluem a dependência de dados anotados de alta qualidade, a natureza de "caixa preta" da decisão de IA (interpretabilidade) e as severas preocupações com segurança e privacidade.</t>
  </si>
  <si>
    <t xml:space="preserve">A governança e ética são tratadas reforçando requisitos de rastreabilidade, verificabilidade, integridade e controles robustos de acesso, alinhados a normas de conformidade em nuvem. O framework apoia accountability e auditabilidade total do ciclo de vida dos dados em ambientes multi-cloud. </t>
  </si>
  <si>
    <t>Os estudos abordam a governança enfatizando a necessidade de transparência algorítmica e adesão a regulamentações como o GDPR da União Europeia para proteger dados pessoais sensíveis. Sugere-se o uso de tecnologias como Blockchain e Aprendizado Federado para garantir a segurança, rastreabilidade e conformidade ética no compartilhamento de dados.</t>
  </si>
  <si>
    <t>A governança é abordada pela necessidade de desenvolver estruturas éticas e aderir a regulamentações como o GDPR (Regulamento Geral de Proteção de Dados da União Europeia). A ética exige a adesão aos princípios de justiça, transparência e prestação de contas (accountability). Para a transparência, é crucial melhorar a interpretabilidade dos algoritmos de IA e utilizar tecnologias como Blockchain e Federated Learning para segurança e rastreabilidade. A LGPD brasileira não é mencionada nas fontes.</t>
  </si>
  <si>
    <t>Using NLP and machine learning to detect data privacy violations</t>
  </si>
  <si>
    <t>https://www.scopus.com/pages/publications/85091537231?origin=resultslist</t>
  </si>
  <si>
    <t>Silva, Paulo;Goncalves, Carolina;Godinho, Carolina;Antunes, NunoCurado, Marilia</t>
  </si>
  <si>
    <t>A IA é aplicada para automatizar a detecção de violações de privacidade por meio de NLP e NER, permitindo identificar e monitorar PII em textos de forma confiável, apoiando a conformidade com regulamentações como o GDPR. Os benefícios incluem automação, precisão e uso como Privacy Enhancing Technology, enquanto os desafios envolvem esforço de rotulagem, limitação de dados e risco de uso indevido. O estudo enfatiza governança baseada em transparência, código aberto e processamento efêmero.</t>
  </si>
  <si>
    <t>O estudo propõe o uso de Reconhecimento de Entidade Nomeada (NER) para automatizar a identificação e monitoramento de Informações Pessoalmente Identificáveis (PII), facilitando a conformidade com o GDPR. A governança emerge através do uso da ferramenta como uma Tecnologia de Aprimoramento de Privacidade (PET), oferecendo validação automatizada de dados, embora enfrente desafios significativos na obtenção de datasets rotulados para treinamento.</t>
  </si>
  <si>
    <t>A IA (Machine Learning e NLP) é aplicada através do Reconhecimento de Entidade Nomeada (NER) para monitorar e detectar automaticamente Informações de Identificação Pessoal (PII) em dados não estruturados, identificando potenciais violações de privacidade. Os benefícios incluem aumento da automação e confiabilidade na conformidade e a aplicação como Tecnologia de Aprimoramento de Privacidade (PET), garantindo a conformidade com o GDPR. Os principais desafios são o custo e o tempo da rotulagem manual de PII e as baixas capacidades de generalização dos modelos.</t>
  </si>
  <si>
    <t>As técnicas mais utilizadas são NER e pipelines de NLP apoiados por modelos supervisionados: Naive Bayes e HMM (NLTK), Conditional Random Fields (Stanford CoreNLP) e Convolutional Neural Networks com word vectors (spaCy). Todas são empregadas para classificar entidades sensíveis em textos.</t>
  </si>
  <si>
    <t>O trabalho emprega Processamento de Linguagem Natural (PLN), especificamente a técnica de Reconhecimento de Entidade Nomeada (NER), utilizando ferramentas como NLTK, Stanford CoreNLP e spaCy. Os modelos de aprendizado de máquina subjacentes incluem classificadores Naive Bayes, Modelos Ocultos de Markov (HMM), Campos Aleatórios Condicionais (CRF) e Redes Neurais Convolucionais (CNNs).</t>
  </si>
  <si>
    <t>As técnicas centrais empregadas são o Processamento de Linguagem Natural (NLP) e sua sub-tarefa, o Reconhecimento de Entidade Nomeada (NER), para classificar PII em textos. Para treinar os modelos de Machine Learning (ML), que usam Aprendizado Supervisionado, foram utilizadas abordagens como Naive Bayes, Modelos Ocultos de Markov (HMM), Campos Aleatórios Condicionais (CRFs) e Redes Neurais Convolucionais (CNNs). Essas ferramentas permitem o monitoramento transparente e a detecção de PII para evitar violações.</t>
  </si>
  <si>
    <t>Entre os principais benefícios estão alta precisão na detecção de PII, automação do monitoramento e suporte à privacidade. Os desafios citados incluem escassez de dados rotulados, alto custo de anotação manual, dificuldades de generalização e riscos de uso abusivo das ferramentas.</t>
  </si>
  <si>
    <t>Os benefícios citados incluem alta precisão (F1-score próximo de 90%) na detecção de dados sensíveis, automação confiável e a capacidade de validar conteúdo de dados e permissões. Os desafios envolvem o alto custo temporal para rotulagem manual de dados, a escassez de dados públicos com PII para treinamento e o risco ético da ferramenta ser usada para varreduras indevidas de dados.</t>
  </si>
  <si>
    <t>Os benefícios incluem o aumento da confiabilidade e automação no monitoramento de PII, atuando como Privacy Enhancing Technology (PET), e garantindo a conformidade e transparência com regulamentações. Os desafios citados são a dificuldade de obtenção de dados PII confiáveis e disponíveis publicamente, o alto custo e o tempo demandado pela rotulagem manual dos dados, e o risco de uso indevido dos mecanismos para buscas ilícitas.</t>
  </si>
  <si>
    <t>Os estudos tratam governança e ética destacando a necessidade de transparência, revisão por pares via código aberto, processamento efêmero dos dados e conformidade explícita com normas como o GDPR. Há preocupação com riscos de uso inadequado que possam violar direitos de privacidade.</t>
  </si>
  <si>
    <t>A governança é abordada pelo alinhamento com o GDPR, promovendo a transparência através do uso de código aberto auditável e garantindo que o sistema funcione com armazenamento efêmero, descartando dados após o processamento. A ética é considerada ao desenhar o sistema como uma ferramenta de proteção (PET) que avisa usuários sobre violações, mitigando riscos de exposição de dados sensíveis.</t>
  </si>
  <si>
    <t>Os estudos promovem a conformidade com regulamentações de privacidade como o GDPR, enquanto a LGPD não é mencionada nas fontes. A transparência é crucial, sendo alcançada por meio de código aberto para permitir revisão, e pelo uso de armazenamento efêmero que descarta os dados após o processamento. A abordagem ética está ligada ao objetivo de proteger a privacidade e mitigar o risco de uso indevido (buscas ilegais).</t>
  </si>
  <si>
    <t>Holanda</t>
  </si>
  <si>
    <t>Privacy is dead-solutions for privacy-enabled collections and use of personal health information in digital era</t>
  </si>
  <si>
    <t>https://www.scopus.com/pages/publications/85092439152?origin=resultslist</t>
  </si>
  <si>
    <t>Ruotsalainen, Pekka;Blobel, Bernd</t>
  </si>
  <si>
    <t>Finlandia</t>
  </si>
  <si>
    <t>A IA (machine learning, algoritmos e big data analytics) é usada para coletar, processar e analisar PHI em larga escala, apoiando sistemas digitais de saúde e vigilância, mas ampliando riscos de privacidade. Os benefícios envolvem detecção precoce, suporte à saúde personalizada e eficiência. Os desafios incluem vigilância invasiva, assimetria de poder, falta de transparência e fragilidade das estruturas atuais de governança.</t>
  </si>
  <si>
    <t>O estudo aponta que dados de saúde são processados por algoritmos digitais e machine learning, mas a conformidade atual falha devido à tecnologia onipresente e legislação ineficaz. A governança proposta integra o conceito de "dever fiduciário de informação" com "privacidade como confiança" e o uso de smart contracts para transferir a responsabilidade de proteção para os coletores de dados</t>
  </si>
  <si>
    <t>A IA (Machine Learning e algoritmos) é usada para processar e compartilhar grandes volumes de Informação Pessoal de Saúde (PHI) em ecossistemas digitais. Os desafios incluem a perda de autonomia e o risco de viés/discriminação. A governança proposta combina Dever Fiduciário de Informação, Privacidade como Confiança e Contratos Inteligentes para transferir a responsabilidade da proteção para os coletores de dados.</t>
  </si>
  <si>
    <t>O texto menciona uso de algoritmos, big data analytics, machine learning e aplicações inteligentes para processamento e análise de PHI em ecossistemas digitais. Também cita Privacy-Enhancing Technologies (PETs), anonimização (k-anonymity, differential privacy), criptografia e auditorias como ferramentas centrais para garantir conformidade.</t>
  </si>
  <si>
    <t>As técnicas mencionadas incluem o uso de algoritmos de machine learning e inteligência artificial para processamento de dados em ecossistemas digitais. Para a automação da conformidade e controle de privacidade, o texto destaca especificamente o uso de smart contracts (algoritmos de computador) baseados em blockchain para validar e impor acordos digitais legalmente vinculativos.</t>
  </si>
  <si>
    <t>O Aprendizado de Máquina e os algoritmos digitais são utilizados para processar e analisar PHI. Para a conformidade (PET), são empregadas técnicas de proteção como criptografia, anonimização de dados (Differential privacy) e o uso de Contratos Inteligentes (algoritmos) para automatizar e validar acordos de privacidade.</t>
  </si>
  <si>
    <t xml:space="preserve">Benefícios: detecção antecipada, melhoria de serviços digitais, personalização e suporte à medicina 5P. Desafios: vigilância ubíqua, coleta invisível de dados, “privacy paradox”, impossibilidade prática de controle, assimetria informacional, riscos de discriminação, e fragilidade das proteções tradicionais como consentimento e políticas de privacidade. </t>
  </si>
  <si>
    <t>Os benefícios da solução proposta incluem transferir o ônus da proteção para o provedor, aumentar a transparência via blockchain e corrigir a assimetria de poder entre usuário e serviço. Os desafios citados são a impossibilidade de o usuário saber quais dados são coletados atualmente, a ineficácia dos modelos de consentimento e a gestão segura de chaves criptográficas.</t>
  </si>
  <si>
    <t>Os desafios são críticos: o uso de IA tem tornado a privacidade "quase morta" e gera assimetria de conhecimento e poder entre usuários e provedores. Isso pode levar a manipulação comportamental, discriminação e à comoditização do PHI. Os benefícios se concentram em aumentar a confiança e garantir que o uso da informação beneficie o indivíduo.</t>
  </si>
  <si>
    <t xml:space="preserve">A governança é abordada por meio de novos modelos como “informational fiduciary duty”, “privacy as trust”, contratos inteligentes e privacidade como propriedade. O estudo defende deveres legais de lealdade, responsabilização, monitoramento via blockchain, transparência, auditorias e regulação mais forte que vá além do consentimento do GDPR para garantir proteção real. </t>
  </si>
  <si>
    <t>O estudo critica o GDPR por depender do modelo de "aviso e escolha" (consentimento), considerado inadequado para ambientes virtuais distribuídos, e sugere uma lei de dever fiduciário informacional. A ética é abordada exigindo que fiduciários ajam estritamente em benefício do titular dos dados (não causando danos) e garantam transparência e prestação de contas através de trilhas de auditoria imutáveis.</t>
  </si>
  <si>
    <t>A governança exige a adesão a princípios como o GDPR e o CCPA, e a implementação do dever de lealdade e confidencialidade. A prestação de contas e a transparência são alcançadas através de monitoramento online e trilhas de auditoria (audit-trials) em Blockchain. A regulamentação brasileira LGPD não é mencionada nas fontes.</t>
  </si>
  <si>
    <t>https://www.scopus.com/inward/record.uri?eid=2-s2.0-105012769787&amp;doi=10.1109%2FSIML65326.2025.11081062&amp;partnerID=40&amp;md5=b61983e789b6880c6b305d787196d120</t>
  </si>
  <si>
    <t>Sakapertana, A.S.; Faldi, W.M.; Mahardika, A.; Shiddiqi, A.M.</t>
  </si>
  <si>
    <t>A IA é aplicada para automatizar a detecção de PII em respostas de REST APIs usando modelos de machine learning (SVM e Naive Bayes) que classificam dados sensíveis em texto semi-estruturado, apoiando conformidade com GDPR e UU PDP. Os benefícios são maior segurança, qualidade do software e detecção automática de vazamentos. Os desafios incluem escassez de dados rotulados, necessidade de dados sintéticos e dificuldades em capturar a complexidade real de APIs.</t>
  </si>
  <si>
    <t>O estudo aplica Support Vector Machines (SVM) e Naive Bayes para detectar automaticamente Informações de Identificação Pessoal (PII) em respostas de API REST, visando a conformidade com o GDPR e a UU PDP da Indonésia. Essa integração supera métodos manuais ou baseados em regras, lidando com a natureza semi-estruturada dos dados para garantir a segurança e a qualidade do software no ciclo de vida de desenvolvimento.</t>
  </si>
  <si>
    <t>A IA (Support Vector Machines e Naive Bayes) é aplicada para detecção automatizada de PII em respostas de REST APIs semi-estruturadas. Os benefícios são o aprimoramento da segurança da API, qualidade do software e a garantia de conformidade com o GDPR e UU PDP. O desafio principal é a escassez de datasets rotulados reais e a dificuldade em lidar com a complexidade e a natureza semi-estruturada dos dados de API.</t>
  </si>
  <si>
    <t>As técnicas mais empregadas são SVM e Naive Bayes com extração de características via TF-IDF, aplicadas ao texto extraído de respostas JSON para classificar campos como PII, PII hasheado ou não-PII. O estudo também cita uso complementar de pré-processamento, normalização textual e geração de dados sintéticos.</t>
  </si>
  <si>
    <t>O trabalho emprega classificadores de Aprendizado de Máquina supervisionado, especificamente SVM e Naive Bayes, utilizando a técnica TF-IDF para extração de características em dados textuais de logs de API. O estudo também utiliza geração de dados sintéticos programáticos para criar datasets de treinamento diversificados, superando a escassez de dados rotulados reais</t>
  </si>
  <si>
    <t>As técnicas de IA mais empregadas são os modelos de Machine Learning de classificação multi-classe, especificamente o Support Vector Machines (SVM) e o Naive Bayes. Para a extração de características do texto (PII), é utilizado o método TF-IDF (Term Frequency-Inverse Document Frequency) para a conversão de dados textuais em vetores numéricos.</t>
  </si>
  <si>
    <t>Os principais benefícios incluem aumento da precisão na detecção de PII (SVM com F1 de 84,37%), redução de riscos de vazamento e suporte ao cumprimento regulatório. Os desafios envolvem altos índices de falsos negativos, limitação de dados reais, dificuldade em detectar PII hasheado e necessidade de modelos mais robustos para cenários reais.</t>
  </si>
  <si>
    <t>Os benefícios incluem alta precisão (até 90,11% com SVM) e eficiência computacional, permitindo a detecção automatizada de vazamento de dados em ambientes com recursos limitados. Os desafios citados envolvem a escassez de datasets públicos rotulados, dificuldades na detecção de PIIs em formato hash e a limitação de generalização devido ao uso de dados sintéticos.</t>
  </si>
  <si>
    <t>Os benefícios são o aumento da segurança de API e a capacidade de garantir a conformidade regulatória, utilizando modelos que são leves e requerem menos sobrecarga computacional em comparação com deep learning. Os desafios incluem a limitação de datasets reais rotulados, o que exige o uso de dados sintéticos, e a dificuldade dos modelos em identificar PII que foi criptografado (hashed PII).</t>
  </si>
  <si>
    <t>O estudo aborda governança e ética reforçando aderência ao GDPR e à lei indonésia UU PDP, uso de detecção automatizada para garantir conformidade, e mecanismos de classificação que auxiliam na prevenção de exposição indevida de dados. Destaca a necessidade de precisão, redução de falsos negativos e mitigação de riscos em ambientes distribuídos.</t>
  </si>
  <si>
    <t>A governança é abordada através da implementação técnica de salvaguardas para cumprir regulamentos globais (GDPR) e locais (UU PDP), focando na prevenção de exposição não intencional de dados. O estudo propõe integrar modelos de detecção no ciclo de vida de desenvolvimento (SDLC) para assegurar a responsabilidade e a qualidade do software durante a troca de dados.</t>
  </si>
  <si>
    <t>A governança e a ética são abordadas pelo objetivo de proteger o PII e garantir a adesão ao GDPR e à Lei de Proteção de Dados da Indonésia (UU PDP). A aplicação de sistemas de detecção de PII no ciclo de vida de desenvolvimento é uma estrutura para aumentar a segurança e qualidade do software e prevenir a exposição não intencional de dados. A regulamentação LGPD não é mencionada nas fontes.</t>
  </si>
  <si>
    <t>Towards Automated Security and Privacy Policies Specification and Analysis</t>
  </si>
  <si>
    <t>https://www.scopus.com/inward/record.uri?eid=2-s2.0-105011042769&amp;doi=10.1109%2FMDM65600.2025.00043&amp;partnerID=40&amp;md5=398491b9bae17736014015dbd8821455</t>
  </si>
  <si>
    <t>Alqurashi, S.</t>
  </si>
  <si>
    <t>A IA (especialmente NLP e modelos baseados em BERT) é usada para automatizar a extração e análise de políticas de segurança e privacidade escritas em linguagem natural, convertendo-as em modelos formais para verificação e conformidade. Os benefícios incluem precisão, redução de esforço humano e avaliação sistemática. Os desafios envolvem ambiguidade dos textos, complexidade dos documentos e necessidade de validação estrutural.</t>
  </si>
  <si>
    <t>A IA, via Processamento de Linguagem Natural (NLP), automatiza a extração de políticas de segurança (ACPs) e privacidade de documentos em linguagem natural para modelos formais (NGAC) e verificação de conformidade com GDPR/CCPA. Isso reduz erros manuais e custos, estabelecendo uma governança baseada na validação formal de consistência e transparência das práticas de dados.</t>
  </si>
  <si>
    <t>A IA (NLP e Machine Learning) é aplicada para automatizar a extração e análise de políticas de segurança (ACPs) e políticas de privacidade escritas em linguagem natural. O benefício principal é a substituição da extração manual, que é tediosa, cara e propensa a erros. Os desafios incluem a natureza não estruturada e ambígua do texto, e a governança é abordada por um framework que verifica se as políticas divulgam as práticas de dados exigidas pelo GDPR e CCPA.</t>
  </si>
  <si>
    <t>As técnicas empregadas incluem NLP, classificação com BERT (binária, multi-rótulo e token classification), reconhecimento de entidades (NGAC-ER), além de métodos de extração automática de práticas de privacidade. O framework integra aprendizado de máquina com testes formais e análise baseada em grafos.</t>
  </si>
  <si>
    <t>O estudo emprega Processamento de Linguagem Natural (PLN) utilizando o modelo BERT para classificação binária, multi-rótulo e reconhecimento de entidades (classificação de tokens) na identificação de ACPs. Além disso, utiliza few-shot learning e análise de dependência (dependency parsing) para extrair e classificar práticas de privacidade.</t>
  </si>
  <si>
    <t>As técnicas mais empregadas são o Processamento de Linguagem Natural (NLP) e o Aprendizado de Máquina. O modelo BERT é usado como classificador binário, multi-rótulo e classificador de tokens para identificar elementos de políticas de segurança. O componente Privacy2Practice utiliza Few-shot learning para extrair entidades e tipos de dados de políticas de privacidade.</t>
  </si>
  <si>
    <t xml:space="preserve">Os benefícios apontados são aumento da precisão (F1 de até 96%), automação de análises complexas, redução de custo, maior capacidade de conformidade e transparência. Entre os desafios estão ambiguidade textual, volume de políticas, necessidade de modelos robustos, detecção de inconsistências e limitação de abordagens manuais. </t>
  </si>
  <si>
    <t>Os benefícios incluem a superação de processos manuais tediosos, caros e propensos a erros, oferecendo alta precisão (F1-score acima de 90%) e eficiência na análise de grandes volumes de políticas. Os desafios envolvem a ambiguidade e falta de estrutura da linguagem natural, a complexidade densa das políticas de privacidade e a detecção de conflitos entre políticas declaradas e práticas reais</t>
  </si>
  <si>
    <t>Os benefícios são a extração estruturada e precisa de políticas, reduzindo o trabalho manual, o custo e a complexidade. Os desafios são a extensão e complexidade das políticas de privacidade, que dificultam a compreensão, e a necessidade de detectar conflitos de política entre o que é declarado e as práticas reais.</t>
  </si>
  <si>
    <t>Os estudos tratam governança e ética por meio da extração automática de práticas exigidas por GDPR e CCPA, avaliando se políticas divulgam corretamente entidades, tipos de dados e propósitos. A ênfase é em transparência, alinhamento entre política e prática real, e validação formal para garantir consistência e aderência regulatória.</t>
  </si>
  <si>
    <t>A governança é tratada pelo componente Privacy2Practice, que verifica automaticamente se as políticas divulgam práticas exigidas por regulamentações como GDPR e CCPA, promovendo a transparência no uso de dados. A prestação de contas é assegurada pela análise formal de propriedades como completude, consistência e well-formedness nos modelos de segurança extraídos.</t>
  </si>
  <si>
    <t>Os estudos abordam a conformidade focando na adesão ao GDPR e ao CCPA (California Consumer Privacy Act); a LGPD não é mencionada. A transparência é garantida ao analisar se a política divulga todos os elementos críticos de práticas de dados, e a prestação de contas é suportada pela análise formal da correção das políticas extraídas.</t>
  </si>
  <si>
    <t>Privacy2Practice: Leveraging Automated Analysis for Privacy Policy Transparency and Compliance</t>
  </si>
  <si>
    <t>https://www.scopus.com/inward/record.uri?eid=2-s2.0-105010503863&amp;doi=10.5220%2F0013518600003979&amp;partnerID=40&amp;md5=a96e556ba6f69772168553c20be1a5d1</t>
  </si>
  <si>
    <t>Alqurashi, S.; Ray, I.</t>
  </si>
  <si>
    <t>A IA é aplicada por meio de NLP e Few-Shot Learning para automatizar a extração de entidades, tipos de dados e finalidades descritas em políticas de privacidade, avaliando sua transparência e conformidade com GDPR e CCPA. Os benefícios incluem maior precisão, análise sistemática e identificação de práticas ocultas. Os desafios envolvem complexidade textual, lacunas de transparência e variações entre políticas.</t>
  </si>
  <si>
    <t>A IA é aplicada através do framework Privacy2Practice, que utiliza Processamento de Linguagem Natural (PLN) para extrair e analisar automaticamente práticas de dados em políticas de privacidade, garantindo transparência e alinhamento com regulamentos como GDPR e CCPA. Os benefícios incluem a identificação precisa de entidades e propósitos em documentos complexos, enquanto a governança foca na verificação da divulgação transparente das práticas de coleta e compartilhamento de dados.</t>
  </si>
  <si>
    <t>A IA (NLP e Few-Shot Learning) é aplicada no framework Privacy2Practice para extrair e analisar automaticamente políticas de privacidade complexas, substituindo o processo manual, que é caro e propenso a erros. O benefício é garantir que as divulgações de práticas de dados sejam mais transparentes, compreensíveis e em conformidade com o GDPR e CCPA. O desafio é a natureza densa e complexa das políticas, resultando em frequentes não conformidades, como o compartilhamento de terceiros não divulgado.</t>
  </si>
  <si>
    <t xml:space="preserve">As principais técnicas usadas são NLP, Few-Shot Learning (SetFit), classificação binária e multiclasse, dependência sintática (SpaCy), identificação de entidades e transformadores pré-treinados. Essas técnicas permitem extrair automaticamente entidades, tipos de dados e propósitos dentro das políticas. </t>
  </si>
  <si>
    <t>O estudo emprega técnicas de PLN, especificamente a abordagem de Few-Shot Learning com o modelo SetFit (baseado em sentence transformers) para realizar classificação de texto com poucos dados rotulados. Além disso, utiliza análise de dependência (dependency parsing) e classificação binária e multiclasse para identificar entidades (primeira e terceira parte), tipos de dados e propósitos de uso</t>
  </si>
  <si>
    <t>As técnicas mais empregadas são o Processamento de Linguagem Natural (NLP) e o Aprendizado de Máquina. O framework Privacy2Practice utiliza a abordagem de Few-Shot Learning (SetFit) para classificar entidades, tipos de dados e propósitos, superando a escassez de dados anotados. Para identificação de entidades, utiliza-se a classificação binária aprimorada por Dependency Parsing.</t>
  </si>
  <si>
    <t>Os benefícios mencionados incluem maior precisão (até 97% de F1), redução de esforço manual e análise consistente das práticas de privacidade. Os desafios citados incluem falta de transparência em políticas reais, dados insuficientemente rotulados, dificuldade em identificar propósitos complexos e oscilações de desempenho em categorias específicas.</t>
  </si>
  <si>
    <t>Os benefícios incluem a automação da análise de documentos longos e complexos, alcançando alta precisão (F1-score de 97% para entidades) e superando a escassez de dados anotados através de Few-Shot Learning. Os desafios envolvem a dificuldade de compreensão da linguagem jurídica densa por humanos e a detecção de práticas de não conformidade, como o compartilhamento não divulgado de dados com terceiros.</t>
  </si>
  <si>
    <t>Os benefícios são a extração estruturada e precisa de informações, com F1-scores altos (e.g., 97% para entidades), e a melhora da transparência e conformidade. O principal desafio é a complexidade e o jargão legal das políticas, que tornam difícil para usuários e especialistas compreendê-las e avaliar a transparência do tratamento de dados.</t>
  </si>
  <si>
    <t>A governança e a ética são tratadas avaliando a adesão às exigências do GDPR e CCPA, especialmente quanto a entidades envolvidas, tipos de dados e propósitos declarados. O estudo enfatiza transparência, responsabilidade e detecção de não conformidades, como compartilhamento não revelado com terceiros.</t>
  </si>
  <si>
    <t>A governança é abordada pela validação automática se as políticas divulgam claramente práticas exigidas pelo GDPR e CCPA, como tipos de dados coletados e propósitos de uso, promovendo a transparência e a responsabilidade das organizações. O framework sinaliza políticas vagas ou incompletas para revisão por auditores humanos, garantindo que os direitos dos usuários e os requisitos regulatórios sejam respeitados.</t>
  </si>
  <si>
    <t>Os estudos focam na transparência e prestação de contas (accountability), princípios centrais do GDPR e CCPA. A transparência é avaliada pelo framework verificando se as políticas divulgam adequadamente as entidades, tipos de dados e propósitos de coleta. A regulamentação brasileira LGPD não é mencionada nas fontes.</t>
  </si>
  <si>
    <t>https://www.scopus.com/inward/record.uri?eid=2-s2.0-105001156837&amp;doi=10.1109%2FCCWC62904.2025.10903892&amp;partnerID=40&amp;md5=9301e4e3c82857abbc4e5c731fa1037f</t>
  </si>
  <si>
    <t>Donvir, A.; Sharma, G.</t>
  </si>
  <si>
    <t>A IA é aplicada para apoiar o desenvolvimento e teste de software com GenAI e LLMs, trazendo automação, geração de código e detecção de falhas, mas também desafios éticos como vieses, falta de transparência, riscos de privacidade e impactos sociais. Os benefícios incluem produtividade, precisão e inovação. A governança requer estruturas baseadas em responsabilidade, transparência e avaliação ética contínua.</t>
  </si>
  <si>
    <t>A IA, através de GenAI e LLMs, é integrada ao ciclo de vida de desenvolvimento e teste (AI-STLC) para aumentar a eficiência, mas exige governança ética para mitigar riscos. Estruturas como o "Ethical AI Development Flow" emergem para integrar avaliações de impacto ético, transparência e justiça desde o design até a implantação, garantindo conformidade com padrões humanos e regulatórios.</t>
  </si>
  <si>
    <t>A IA (GenAI e LLMs) automatiza e aprimora o desenvolvimento e teste de software, permitindo geração rápida de código e identificação de defeitos. Benefícios incluem maior produtividade e qualidade do software. Os desafios envolvem viés algorítmico, falta de transparência ("caixa preta") e preocupações com privacidade de dados. A governança baseia-se em princípios de responsabilidade (accountability), transparência, justiça e design centrado no ser humano.</t>
  </si>
  <si>
    <t>As técnicas utilizadas incluem LLMs, machine learning, NLP, ferramentas de detecção de vieses (AI Fairness 360, Fairlearn), técnicas de Explainable AI (LIME, SHAP) e métodos de preservação de privacidade como differential privacy e federated learning. São empregadas também estratégias de design ético e auditoria contínua.</t>
  </si>
  <si>
    <t>As técnicas centrais são Generative AI (GenAI) e Large Language Models (LLMs), usadas para gerar código e testes, simplificando o Processamento de Linguagem Natural (PLN). Para a conformidade ética e testes, são empregadas ferramentas de Bias Detection (como AI Fairness 360) e Explainable AI (XAI), como LIME e SHAP, para aumentar a transparência. Modelos baseados em PLN são usados para gerar dados de teste para cenários de impacto negativo.</t>
  </si>
  <si>
    <t>Os benefícios incluem aumento de produtividade, melhoria de qualidade, detecção eficiente de defeitos e personalização. Os desafios envolvem vieses algorítmicos, opacidade dos modelos, riscos à privacidade, dependência excessiva de IA, impactos trabalhistas e vulnerabilidades de segurança. Esses fatores exigem medidas de mitigação e monitoramento constante.</t>
  </si>
  <si>
    <t>Os principais benefícios são o aumento da produtividade, eficiência e qualidade do software devido à detecção mais rápida de defeitos e código. Os desafios críticos incluem o viés algorítmico (decorrente de dados enviesados), a falta de transparência/interpretabilidade das decisões de modelos complexos ("caixa preta"), e riscos de segurança/privacidade de dados sensíveis.</t>
  </si>
  <si>
    <t>A governança e ética são tratadas por meio de frameworks como IEEE Ethically Aligned Design, ACM Code of Ethics e diretrizes europeias de IA confiável, enfatizando transparência, responsabilidade, não discriminação, proteção de dados e auditorias regulares. O artigo reforça aderência a princípios de privacidade e segurança ao longo de todo o ciclo de desenvolvimento.</t>
  </si>
  <si>
    <t>Os estudos enfatizam a transparência e a prestação de contas (accountability) como essenciais para a confiança do usuário e exigem que os desenvolvedores tomem responsabilidade pelos resultados. As diretrizes da Comissão Europeia promovem governança de dados, transparência e não-discriminação. A conformidade regulatória é garantida por técnicas de privacidade-preservação; a LGPD e o GDPR não são explicitamente citados como leis, mas sim princípios de governança.</t>
  </si>
  <si>
    <t>India</t>
  </si>
  <si>
    <t>https://www.scopus.com/inward/record.uri?eid=2-s2.0-105013617590&amp;doi=10.1109%2FGINOTECH63460.2025.11076655&amp;partnerID=40&amp;md5=aa6736a4b979e385338e2aed13eb71ed</t>
  </si>
  <si>
    <t>Muthu, S.; Samuthira Pandi, V.S.; Shobana, D.; Jaber, A.H.; Giri, J.; Karthikeyan, G.</t>
  </si>
  <si>
    <t>A IA é aplicada no IoHT para automatizar diagnósticos, apoiar telemedicina, executar análises preditivas e fornecer monitoramento contínuo por meio de dispositivos inteligentes conectados. Os benefícios incluem decisões clínicas mais rápidas, redução de erros, detecção precoce e eficiência operacional. Desafios envolvem cibersegurança, interoperabilidade e conformidade com normas como HIPAA e GDPR.</t>
  </si>
  <si>
    <t>O documento foca no uso de IA e IoHT para melhorar resultados clínicos e operacionais, e não explicitamente na automação de processos de compliance. No entanto, a integração da IA é citada como capaz de fortalecer a cibersegurança para a transferência e armazenamento seguro de dados de saúde , apoiando a conformidade com regulamentos como HIPAA e GDPR. A governança emerge através da necessidade de arquiteturas seguras que integrem dispositivos médicos, redes de dados e plataformas em nuvem.</t>
  </si>
  <si>
    <t>A IA no Internet of Healthcare Things (IoHT) é usada para análise de dados em tempo real, diagnósticos aprimorados e otimização de recursos hospitalares. Os benefícios incluem melhoria nos resultados dos pacientes, redução de custos médicos e aumento da eficiência operacional. Os desafios são a cibersegurança, a interoperabilidade e a necessidade de conformidade regulatória, exigindo o uso de Blockchain e soluções de cibersegurança para governança.</t>
  </si>
  <si>
    <t>As técnicas utilizadas incluem machine learning para diagnósticos preditivos, análise de padrões, IA aplicada a imagens médicas, sensores inteligentes e sistemas baseados em edge e cloud computing. O artigo destaca também o uso de blockchain e criptografia para reforçar privacidade e segurança dos dados.</t>
  </si>
  <si>
    <t>As técnicas empregadas são Inteligência Artificial (AI) e algoritmos de Machine Learning (ML) para análise preditiva, diagnóstico precoce e processamento de grandes datasets de saúde. Sistemas de imagem baseados em IA e análises em tempo real são cruciais para aprimorar a tomada de decisões. Tecnologias de suporte, como Blockchain, são vitais para a segurança dos dados e conformidade regulatória.</t>
  </si>
  <si>
    <t>Os benefícios relatados incluem maior precisão diagnóstica, redução de tempo de resposta, diminuição de custos operacionais, menos readmissões e melhor gestão de recursos. Os desafios incluem riscos de privacidade, ataques cibernéticos, falta de padronização e alta dependência de infraestrutura tecnológica robusta.</t>
  </si>
  <si>
    <t>Os benefícios incluem o aumento da precisão do monitoramento (e.g., de 85% para 98% em monitores de frequência cardíaca), redução significativa na latência da transmissão de dados e melhoria da eficiência energética dos dispositivos. Os desafios citados são os riscos de cibersegurança (comprometimento de dados sensíveis), problemas de interoperabilidade e a necessidade de desenvolvimento de políticas e pesquisa contínua para confiabilidade e escalabilidade.</t>
  </si>
  <si>
    <t>A governança e a ética aparecem na ênfase sobre criptografia forte, blockchain, monitoramento de segurança, e aderência a regulações como HIPAA e GDPR para proteger dados sensíveis. O estudo reforça a necessidade de políticas, padronização e colaboração entre hospitais, desenvolvedores e reguladores para garantir transparência, segurança e conformidade.</t>
  </si>
  <si>
    <t>O estudo enfatiza que parcerias entre desenvolvedores, instituições de saúde e reguladores são necessárias para abordar questões técnicas e éticas. A governança de dados é tratada através da exigência de criptografia forte e uso de Blockchain para garantir registros descentralizados e invioláveis, assegurando a conformidade com leis como HIPAA e GDPR</t>
  </si>
  <si>
    <t>Os estudos abordam a ética e a governança pela exigência de criptografia robusta e soluções de segurança baseadas em Blockchain para proteger a privacidade dos dados do paciente. A conformidade regulatória exige adesão explícita ao GDPR e HIPAA. A necessidade de parcerias entre stakeholders (desenvolvedores, instituições, reguladores) é vital para abordar questões técnicas e éticas. A regulamentação LGPD não é mencionada.</t>
  </si>
  <si>
    <t>FASTER-AI: A Comprehensive Framework for Enhancing the Trustworthiness of Artificial Intelligence in Web Information Systems</t>
  </si>
  <si>
    <t>https://www.scopus.com/inward/record.uri?eid=2-s2.0-85217175163&amp;doi=10.5220%2F0013061100003825&amp;partnerID=40&amp;md5=520645470d59a4242d2d5cea88bc10bd</t>
  </si>
  <si>
    <t>Troussas, C.; Papakostas, C.; Krouska, A.; Mylonas, P.; Sgouropoulou, C.</t>
  </si>
  <si>
    <t>A IA é aplicada por meio do framework FASTER-AI para garantir conformidade e confiança em sistemas da web, atuando em justiça, transparência, privacidade, segurança e responsabilidade. Os benefícios incluem redução de vieses, maior interpretabilidade, proteção de dados e modelos mais robustos. Os desafios envolvem ataques adversariais, riscos de privacidade, falta de transparência e exigências regulatórias como GDPR/CCPA.</t>
  </si>
  <si>
    <t>O estudo propõe o framework FASTER-AI para integrar IA em Sistemas de Informação Web (WIS), visando automatizar decisões com conformidade regulatória (GDPR/CCPA) e confiabilidade. A governança é estruturada através de comitês de ética e auditorias contínuas para mitigar riscos de viés, assegurar responsabilidade e manter a confiança do usuário.</t>
  </si>
  <si>
    <t>A IA é integrada em Sistemas de Informação Web (WIS) para automatizar tarefas complexas e personalizar a experiência do usuário (e.g., sistemas de recomendação). O benefício principal é a melhoria da eficiência e inovação. O desafio crítico é a necessidade de garantir a confiabilidade (trustworthiness) da IA para mitigar danos causados por viés, violação de dados e decisões antiéticas. A governança é estabelecida pelo framework FASTER-AI (Fairness, Accountability, Security, Transparency, Ethical considerations, Robustness).</t>
  </si>
  <si>
    <t>As técnicas empregadas incluem métodos de mitigação de vieses, modelos interpretáveis, LIME e SHAP para explicabilidade, adversarial training, differential privacy, federated learning, homomorphic encryption, além de auditorias contínuas e fairness-aware learning. Essas ferramentas compõem a aplicação prática das dimensões do FASTER-AI.</t>
  </si>
  <si>
    <t>São empregadas técnicas de Aprendizado de Máquina conscientes de justiça (fairness-aware) e ferramentas de explicabilidade (XAI) como LIME e SHAP para garantir transparência em modelos. Para segurança e privacidade, utilizam-se treinamento adversarial, aprendizado federado, privacidade diferencial e criptografia homomórfica</t>
  </si>
  <si>
    <t>A IA é usada para automatizar tarefas e personalizar a experiência em WIS. O framework FASTER-AI recomenda o uso de técnicas de interpretabilidade como LIME e SHAP para explicar modelos "caixa preta" e aumentar a transparência. Para segurança, são incentivadas técnicas de privacidade-preservação, como Differential Privacy e Federated Learning.</t>
  </si>
  <si>
    <t>Os benefícios incluem maior equidade, redução de reclamações, mais transparência, menor taxa de erros sob ataque, aumento da confiança de usuários e conformidade regulatória. Os desafios citados abrangem vieses estruturais, complexidade de explicar modelos, vulnerabilidade a ataques e custos de implementação de segurança e governança.</t>
  </si>
  <si>
    <t>Quais são os principais benefícios (por exemplo, redução de custos, aumento da precisão, agilidade) e desafios (por exemplo, viés algorítmico, interpretabilidade, privacidade) citados na literatura sobre o uso de IA em processos de conformidade? Os benefícios incluem aumento da justiça (paridade demográfica +20%), redução de disputas e reclamações (-15%) e maior robustez contra fraudes (+30%). Os desafios centrais abordados são a mitigação de vieses discriminatórios, a falta de interpretabilidade ("caixa preta") e a proteção contra violações de dados e ataques adversários.</t>
  </si>
  <si>
    <t>Os benefícios comprovados incluem a melhoria da justiça (paridade demográfica +20%) e transparência (redução de 15% nas disputas de crédito), e o aprimoramento da segurança (zero violações de dados relatadas) e robustez (redução de 30% na taxa de erro sob ataque). Os desafios são a mitigação do viés algorítmico, a necessidade de interpretabilidade para modelos complexos e a implementação de mecanismos de segurança rigorosos para proteger dados sensíveis.</t>
  </si>
  <si>
    <t>A governança e ética são abordadas via a dimensão “Ethical Considerations and Accountability”, com ênfase em auditorias, documentação, comitês de ética, trilhas de decisão, transparência e alinhamento a normas como GDPR e CCPA. O estudo destaca estruturas institucionais para supervisão e prestação de contas.</t>
  </si>
  <si>
    <t>A governança é tratada pela dimensão de "Considerações Éticas e Responsabilidade", que exige documentação completa, trilhas de auditoria e supervisão por comitês de ética. A adesão ao GDPR é assegurada pela implementação de mecanismos de transparência, criptografia e controles de acesso que protegem a privacidade dos dados sensíveis.</t>
  </si>
  <si>
    <t>A governança e a ética são fundamentadas em prestação de contas (accountability) e transparência. Estruturas de governança incluem documentação, auditorias e a formação de comitês de ética em IA para supervisionar decisões sensíveis. O framework FASTER-AI visa a conformidade com regulamentações de proteção de dados como o GDPR e o CCPA, mas a LGPD não é mencionada nas fontes.</t>
  </si>
  <si>
    <t>Hungria</t>
  </si>
  <si>
    <t>Architectures of Contemporary Information Systems and Legal/Regulatory Environment</t>
  </si>
  <si>
    <t>https://www.scopus.com/inward/record.uri?eid=2-s2.0-85193916094&amp;doi=10.5220%2F0012733600003690&amp;partnerID=40&amp;md5=9644dc76027d025987561acfad1a755e</t>
  </si>
  <si>
    <t>Molnár, B.; Báldy, P.; Menyhard-Balázs, K.</t>
  </si>
  <si>
    <t>A IA — incluindo ML, Data Science e LLMs — é aplicada em arquiteturas corporativas para apoiar conformidade regulatória, análise de processos, automação e tomada de decisão. Os benefícios incluem eficiência, apoio à transformação digital e integração com EA. Os desafios envolvem privacidade, riscos legais, requisitos do GDPR/AI Act e necessidade de incorporar regras regulatórias já na arquitetura.</t>
  </si>
  <si>
    <t>O artigo propõe o uso de Arquitetura Empresarial (EA), baseada na ontologia de Zachman e TOGAF, para integrar tecnologias como IA, Large Language Models (LLM) e Blockchain ao ambiente regulatório (GDPR, AI Act). A governança emerge da incorporação de regras legais e éticas nos blocos de construção da arquitetura para gerenciar a complexidade sócio-tecnológica.</t>
  </si>
  <si>
    <t>A IA (ML, Data Science, GenAI, LLMs) é aplicada para otimizar tarefas e fluxos de trabalho, sendo crucial para a transformação digital. O principal desafio é que o rápido desenvolvimento tecnológico interfere na privacidade e dados pessoais, e a estrutura de governança exige que as regras legais e éticas sejam incorporadas nos blocos arquitetônicos do sistema.</t>
  </si>
  <si>
    <t>O artigo cita o uso de Machine Learning, Data Science, LLMs, automação, Data Lakes, IoT, Blockchain, além de técnicas de análise estrutural aplicadas via Zachman, TOGAF e ArchiMate para garantir conformidade e controle. Tais técnicas são inseridas como componentes arquiteturais para suportar sistemas regulados.</t>
  </si>
  <si>
    <t>O texto cita IA Generativa, Grandes Modelos de Linguagem (LLMs), Aprendizado de Máquina e Ciência de Dados como tecnologias disruptivas que devem ser geridas pela arquitetura empresarial. Essas técnicas são aplicadas em Data Lakes para análise de dados, exigindo alinhamento arquitetural para garantir o uso ético e legal, especialmente em processos de transformação digital.</t>
  </si>
  <si>
    <t>As técnicas disruptivas centrais são IA Generativa (GenAI), Large Language Models (LLMs), Machine Learning (ML) e Data Science (DS), utilizadas para otimizar processos e prever demandas. O texto também menciona a necessidade de XAI (Explainable AI) para lidar com a conformidade, e refere-se ao ramo de tecnologias de conformidade chamado RegTech.</t>
  </si>
  <si>
    <t>Benefícios incluem melhor alinhamento entre tecnologia e legislação, sistemas mais robustos, uso eficiente de dados e suporte à inovação. Os desafios citados abrangem risco de vieses, exigências de transparência, necessidade de compliance desde o design, altos custos regulatórios e impacto de legislações como GDPR, ePrivacy, Data Act e AI Act.</t>
  </si>
  <si>
    <t>Os benefícios envolvem inovação e hiperpersonalização de serviços digitais, enquanto os desafios centrais são a conformidade com um cenário regulatório fragmentado (GDPR, AI Act) e a mitigação de vieses algorítmicos. A privacidade é crítica, exigindo a proteção de dados em sistemas que realizam tomadas de decisão automatizadas.</t>
  </si>
  <si>
    <t>O principal benefício é a otimização e eficácia das tarefas em fluxos de trabalho e a previsão de demandas por recursos. Os desafios envolvem a possibilidade de viés algorítmico amplificado por dados enviesados, e a necessidade de lidar com a interferência na privacidade e dados pessoais.</t>
  </si>
  <si>
    <t>A governança e ética são tratadas a partir da integração de normas como GDPR, AI Act, DSA, DMA e Data Governance Act, enfatizando privacidade, mitigação de vieses, “data protection by design”, responsabilidade e avaliação de riscos. A Figura 1 (p. 7) resume o ecossistema regulatório que deve ser incorporado à arquitetura dos sistemas.</t>
  </si>
  <si>
    <t>A governança é tratada pela implementação obrigatória de "proteção de dados desde a concepção e por padrão" e pelo envolvimento de juristas desde o início do desenvolvimento do sistema. A ética é abordada através da identificação e mitigação de vieses em dados de treinamento e da adesão estrita a regulamentos da UE, como o AI Act e GDPR.</t>
  </si>
  <si>
    <t>A governança foca na adesão ao GDPR e ao novo AI Act da UE. A ética é abordada exigindo a mitigação de vieses e a implementação de "data protection by design and by default" desde as primeiras fases do desenvolvimento. A prestação de contas é suportada pela exigência de divulgação de evidências para sistemas de alto risco. A LGPD brasileira não é mencionada nas fontes.</t>
  </si>
  <si>
    <t>Personalized Health Informatics Platforms for Patient-Centric Remote Care and Telehealth Optimization; Plataformas informáticas sanitarias personalizadas para la teleasistencia centrada en el paciente y la optimización de la telesalud</t>
  </si>
  <si>
    <t>https://www.scopus.com/inward/record.uri?eid=2-s2.0-105002770147&amp;doi=10.56294%2Fmw2024510&amp;partnerID=40&amp;md5=4f233886aa8de453b0a21cf635efa327</t>
  </si>
  <si>
    <t>Hota, S.; Vamalatha, B.; Sood, G.; Kalra, S.; Choudhary, A.S.; Mane, M.; Homavazir, Z.</t>
  </si>
  <si>
    <t>A IA é aplicada analisando grandes volumes de dados em tempo real, integrando informações de dispositivos vestíveis, EHRs e telemonitoramento para apoiar decisões, detectar riscos precocemente e garantir que plataformas sigam padrões de segurança e privacidade. Os benefícios incluem maior precisão, antecipação de problemas e eficiência operacional; os desafios envolvem proteção de dados, interoperabilidade e confiança do usuário. A governança exige aderência a normas como HIPAA, uso de métodos seguros e políticas de transparência.</t>
  </si>
  <si>
    <t>A IA é aplicada para analisar grandes volumes de dados em tempo real, permitindo planos de tratamento personalizados e monitoramento remoto, exigindo governança robusta para proteção de dados e adesão a normas como a HIPAA. Os benefícios incluem eficiência operacional e cuidado proativo, enquanto os desafios estruturais envolvem segurança de dados e interoperabilidade entre sistemas.</t>
  </si>
  <si>
    <t xml:space="preserve">A IA tem sido aplicada principalmente para analisar grandes volumes de dados clínicos em tempo real, identificar padrões e apoiar decisões que exigem aderência a normas de privacidade e segurança. Entre os benefícios estão a melhoria da precisão, a detecção precoce de riscos e o aumento da eficiência operacional, enquanto os desafios envolvem proteção de dados, interoperabilidade e confiança do paciente. A governança aparece alinhada a normas como HIPAA, com ênfase em segurança, transparência e uso responsável das informações. </t>
  </si>
  <si>
    <t>O artigo destaca o uso de machine learning, análise preditiva, sensoriamento inteligente, processamento contínuo de dados biométricos e sistemas de recomendação baseados em IA. Essas técnicas permitem identificar padrões, emitir alertas automáticos, personalizar tratamentos e apoiar decisões clínicas.</t>
  </si>
  <si>
    <t>As técnicas principais são Inteligência Artificial e Aprendizado de Máquina (Machine Learning) para identificar padrões em grandes conjuntos de dados e realizar análises preditivas de riscos à saúde. O uso de análise de dados em tempo real (Real-Time Data Analytics) também é destacado para suporte à decisão clínica e monitoramento contínuo de pacientes</t>
  </si>
  <si>
    <t>As técnicas mais utilizadas incluem modelos de machine learning para análise preditiva, algoritmos de detecção de padrões, sistemas inteligentes integrados a dispositivos vestíveis e ferramentas que processam dados biométricos contínuos. Esses métodos permitem automatizar alertas, personalizar recomendações e reforçar controles de conformidade.</t>
  </si>
  <si>
    <t>Os principais benefícios incluem redução de hospitalizações, economia de custos, aumento da adesão ao tratamento, personalização do cuidado e rapidez na detecção de riscos. Já os desafios envolvem privacidade e segurança dos dados, interoperabilidade entre sistemas, alfabetização digital e riscos de uso inadequado da tecnologia.</t>
  </si>
  <si>
    <t>Os benefícios incluem redução de custos operacionais, diminuição de admissões hospitalares e aumento do engajamento do paciente através de cuidados personalizados. Os desafios citados focam na privacidade e segurança dos dados, falta de padronização (interoperabilidade) entre sistemas de saúde e a necessidade de letramento digital dos pacientes</t>
  </si>
  <si>
    <t xml:space="preserve">Os estudos apontam benefícios como redução de hospitalizações, economia de custos, maior adesão ao tratamento e decisões mais rápidas e precisas. Em contrapartida, destacam desafios como riscos à privacidade, dificuldades de integração entre sistemas, possíveis falhas de segurança e limitações de alfabetização digital entre usuários. </t>
  </si>
  <si>
    <t>Os estudos enfatizam conformidade com normas como HIPAA, necessidade de métodos robustos de segurança, uso ético dos dados e transparência nos fluxos de informação. Destacam também o dever de proteger a privacidade do paciente, garantir uso responsável e criar mecanismos que mantenham a confiança no uso de sistemas inteligentes em saúde.</t>
  </si>
  <si>
    <t>A governança é abordada pela necessidade estrita de conformidade com a HIPAA (nos EUA) para proteger dados contra vazamentos e acessos não autorizados, garantindo a confiança do paciente. A ética é discutida no contexto de usar dados honestamente, respeitar a autonomia do paciente e assegurar o consentimento informado nas decisões de tratamento.</t>
  </si>
  <si>
    <t xml:space="preserve">A governança e a ética são tratadas com foco na necessidade de padrões rígidos de segurança, conformidade com leis de privacidade e garantia de uso transparente das informações. Os estudos reforçam a importância de plataformas que sigam regulamentações como HIPAA e adotem práticas claras de prestação de contas e proteção de dados, alinhadas à lógica de regulações como LGPD e GDPR. </t>
  </si>
  <si>
    <t>Jordânia</t>
  </si>
  <si>
    <t>Ethical Considerations in AI-Driven HCI Systems in Software Engineering</t>
  </si>
  <si>
    <t>https://www.scopus.com/inward/record.uri?eid=2-s2.0-86000001651&amp;doi=10.1109%2FACIT62805.2024.10876926&amp;partnerID=40&amp;md5=5d85117222c28152685da083ae8184f2</t>
  </si>
  <si>
    <t>Aljawawdeh, H.; Fawareh, H.; Al Refai Mohammed, M.; Alshraideh, F.; Salman, R.; Dabaa't, S.A.; Alazzeh, H.; Al-Shdaifat, H.; Khouj, M.</t>
  </si>
  <si>
    <t>A IA é aplicada em HCI para personalização, tomada de decisão, reconhecimento de fala e adaptação dinâmica usando ML, NLP e robótica, mas isso traz desafios de privacidade, vieses, transparência e autonomia. Os benefícios incluem interfaces mais eficientes e acessíveis. A governança envolve princípios de ética, consentimento, proteção de dados e responsabilidade ao longo do ciclo de desenvolvimento.</t>
  </si>
  <si>
    <t>O estudo não foca na IA para automatizar a conformidade, mas sim na integração da IA em sistemas de Interação Humano-Computador (IHC) e na necessidade de uma estrutura de governança para garantir que esses sistemas sejam éticos e cumpram regulamentos. Ele propõe um framework abrangente para abordar desafios éticos (privacidade, viés, transparência) durante todo o ciclo de vida de desenvolvimento de software (SDLC), garantindo que tecnologias de IA sejam confiáveis e influentes.</t>
  </si>
  <si>
    <t>A IA (Machine Learning e PLN) em sistemas de Interação Humano-Computador (HCI) aprimora a experiência do usuário, oferecendo personalização e eficiência sem precedentes. Os desafios éticos e de conformidade (governança) incluem privacidade, viés, transparência, autonomia do usuário e prestação de contas (accountability). A estrutura de governança exige a incorporação de considerações éticas em todas as fases do ciclo de vida de desenvolvimento de software (SDLC), como design, implementação e manutenção.</t>
  </si>
  <si>
    <t>As técnicas mais usadas incluem machine learning, NLP, reconhecimento de fala, sistemas adaptativos, criptografia, anonimização, fairness audits, correção algorítmica, Explainable AI (XAI), além de métodos de transparência e auditoria contínua. Essas técnicas sustentam a automação ética em sistemas inteligentes.</t>
  </si>
  <si>
    <t>O documento cita o uso de Aprendizado de Máquina (Machine Learning), Processamento de Linguagem Natural (PLN) e robótica para transformar interações de usuários. No contexto de garantir a conformidade ética e a confiança, destaca-se o uso de Inteligência Artificial Explicável (XAI) para tornar modelos "caixa preta" interpretáveis , além de técnicas de anonimização e criptografia para proteção de dados.</t>
  </si>
  <si>
    <t>As técnicas de IA utilizadas em HCI incluem Aprendizado de Máquina (Machine Learning) e Processamento de Linguagem Natural (PLN), permitindo que as máquinas aprendam com dados e tomem decisões. Para a conformidade ética (autonomia), são cruciais os Mecanismos de Consentimento do Usuário, garantindo que o consentimento seja explícito, informado e revogável. Para a transparência, técnicas de IA Explicável (XAI) são essenciais para desmistificar a "caixa preta" dos modelos de IA.</t>
  </si>
  <si>
    <t>Os benefícios incluem maior eficiência, interfaces mais inteligentes, personalização e melhor acessibilidade. Entre os desafios estão riscos à privacidade, possibilidade de reidentificação, viés algorítmico, opacidade de modelos (“black box”), dificuldade de explicar decisões e necessidade de dados diversos e seguros.</t>
  </si>
  <si>
    <t>Os benefícios da IA em IHC incluem personalização sem precedentes, maior eficiência, acessibilidade e satisfação do usuário. Os desafios éticos e de conformidade citados são substanciais: riscos à privacidade e segurança de dados, viés algorítmico (injustiça), falta de transparência e explicabilidade, ameaças à autonomia do usuário e dificuldades em estabelecer responsabilidade (accountability).</t>
  </si>
  <si>
    <t>Os benefícios são o potencial de melhorar a acessibilidade, aumentar a eficiência e a satisfação do usuário. Os principais desafios éticos são a privacidade e segurança de dados, o viés algorítmico que pode levar a um tratamento desigual de grupos, a falta de transparência/interpretabilidade em modelos complexos (o problema da "caixa preta"), e o risco de comprometer a autonomia do usuário.</t>
  </si>
  <si>
    <t>A governança e ética são abordadas por meio de princípios de privacidade (GDPR), autonomia, auditabilidade, accountability, impacto ético no SDLC, consentimento informado, logs auditáveis e avaliações contínuas de risco. O estudo recomenda “privacy by design”, mitigação de vieses e transparência como pilares regulatórios.</t>
  </si>
  <si>
    <t>A governança é abordada integrando considerações éticas em todas as fases do desenvolvimento (design, implementação, manutenção). O estudo enfatiza a adesão ao GDPR através de mecanismos de consentimento explícito e "privacidade desde a concepção" (Privacy by Design). A prestação de contas é assegurada por protocolos de reparação, logs de decisão auditáveis e mecanismos claros para reclamações de usuários.</t>
  </si>
  <si>
    <t>A governança e a ética são abordadas pela adesão a princípios como Privacidade, Viés, Transparência, Autonomia e Prestação de Contas (Accountability). O GDPR é explicitamente mencionado como uma política que garante o uso ético dos dados, exigindo mecanismos de consentimento explícito e revogável. A transparência exige a exposição da lógica e dos algoritmos, e a prestação de contas envolve definir quem é responsável por resultados negativos. A regulamentação brasileira LGPD não é mencionada nas fontes.</t>
  </si>
  <si>
    <t>Malásia</t>
  </si>
  <si>
    <t>https://www.scopus.com/inward/record.uri?eid=2-s2.0-85217366816&amp;doi=10.1109%2FNETAPPS63333.2024.10823524&amp;partnerID=40&amp;md5=6c90a86a009688ab6d4182841278a7b6</t>
  </si>
  <si>
    <t>Khan, N.A.; Bashir, I.; Khan, M.A.; Wazir, W.; Ud Din, I.U.; Hassan, S.</t>
  </si>
  <si>
    <t>A IA é aplicada para aprimorar processos decisórios em sistemas ERP por meio de analytics, machine learning, NLP, data mining e deep learning, permitindo identificar padrões, prever riscos e automatizar tarefas críticas. Os benefícios incluem decisões mais rápidas, precisão elevada e maior eficiência. Os desafios envolvem qualidade dos dados, integração, privacidade e limitações técnicas.</t>
  </si>
  <si>
    <t>A IA é integrada aos sistemas ERP para aprimorar a gestão de riscos e conformidade, identificando fraudes financeiras e riscos de segurança cibernética em tempo quase real, protegendo a reputação e os ativos da empresa. A automação de tarefas de preparação e limpeza de dados facilita a precisão das informações, essencial para a conformidade, embora a integração de sistemas legados e a qualidade dos dados permaneçam como desafios estruturais.</t>
  </si>
  <si>
    <t>A IA (ML, NLP) é aplicada em sistemas ERP para análise de dados e aprimoramento da tomada de decisão, além de automatizar tarefas como a detecção de fraude e cibersegurança em tempo real. Os benefícios são a melhoria da eficiência e redução de custos. Os desafios incluem a segurança e privacidade de dados sensíveis, o viés, e a necessidade de que as soluções atendam a requisitos legais e padrões.</t>
  </si>
  <si>
    <t>As técnicas empregadas incluem machine learning (SVM, Random Forest, ANN, deep learning), NLP para análise de dados não estruturados, data mining para detectar padrões, computação cognitiva e métodos de visualização. Essas técnicas suportam previsão, detecção de fraudes, manutenção preditiva e otimização de processos.</t>
  </si>
  <si>
    <t>O estudo destaca o Aprendizado de Máquina para detecção de fraudes e previsão de demanda, e o Processamento de Linguagem Natural (NLP) para extrair insights de dados não estruturados como e-mails e logs. Além disso, utiliza-se Deep Learning para reconhecimento de padrões complexos e Mineração de Dados para descobrir relacionamentos ocultos em grandes bases de dados corporativas</t>
  </si>
  <si>
    <t>As técnicas mais empregadas são o Machine Learning (ML) para previsão, manutenção preditiva e detecção de fraude, e o Processamento de Linguagem Natural (NLP) para extrair insights de dados não estruturados como e-mails e logs. Outras técnicas citadas são Deep Learning, Data Mining e Cognitive Computing.</t>
  </si>
  <si>
    <t>Os benefícios citados envolvem maior precisão (ex.: modelos com mais de 98% de acurácia), eficiência operacional, redução de custos, automação, melhorias em forecasting e detecção de riscos. Os desafios incluem falta de dados limpos, problemas de integração, necessidade de especialistas, riscos de privacidade e viés algorítmico.</t>
  </si>
  <si>
    <t>Os benefícios incluem melhoria na tomada de decisão, automação de rotinas, redução de custos operacionais e detecção proativa de fraudes e falhas de manutenção. Os desafios críticos citados envolvem a qualidade e integração de dados dispersos, a escassez de talentos especializados, o viés algorítmico e a necessidade rigorosa de segurança e privacidade de dados sensíveis.</t>
  </si>
  <si>
    <t>Os benefícios são o aumento da precisão e confiabilidade na tomada de decisões, a redução de custos operacionais e a agilidade (tomada de decisões mais rápida). Os desafios principais são garantir a segurança e privacidade de dados sensíveis, a necessidade de evitar o viés e a discriminação algorítmica, e a dificuldade na qualidade e integração dos dados.</t>
  </si>
  <si>
    <t>O estudo aborda governança e ética destacando privacidade e segurança como requisitos fundamentais, necessidade de políticas internas claras, proteção de dados sensíveis, conformidade com padrões regulatórios e mitigação de vieses. Ressalta ainda a importância de práticas éticas para uso responsável de IA em ERPs.</t>
  </si>
  <si>
    <t>A governança é abordada enfatizando a necessidade de políticas organizacionais específicas para proteger dados sensíveis (financeiros e pessoais) contra apropriação indébita, garantindo que as soluções sejam legais e atendam aos padrões de privacidade. O estudo ressalta que evitar viés e discriminação nos sistemas de IA é crítico, e que a ética e a privacidade devem ser respondidas para promover a segurança e utilização eficiente da tecnologia.</t>
  </si>
  <si>
    <t>Os estudos abordam a ética exigindo que a IA garanta a proteção, segurança e uso sensato dos dados sensíveis e promova soluções que sejam legais e atendam a padrões. Para a transparência e prestação de contas, há o apelo para o desenvolvimento de modelos de IA explicáveis (XAI), mas as regulamentações específicas LGPD e GDPR não são mencionadas.</t>
  </si>
  <si>
    <t>A New-generation Nuclear Power Industrial Internet Platform Based on Cloud-Edge-Terminal Network Architecture</t>
  </si>
  <si>
    <t>https://www.scopus.com/inward/record.uri?eid=2-s2.0-85214916197&amp;doi=10.1109%2FDTPI61353.2024.10778715&amp;partnerID=40&amp;md5=888d77246192fd55cfe023e134eea85c</t>
  </si>
  <si>
    <t>Jing, Y.G.; Liu, H.; Cheng, M.M.; Fang, H.; Xu, K.; Lan, Y.</t>
  </si>
  <si>
    <t>A IA é aplicada por meio de edge computing, cloud analytics e modelos inteligentes para otimizar monitoramento, diagnóstico preditivo, controle em tempo real e segurança operacional em sistemas nucleares. Os benefícios incluem redução de falhas, maior precisão, menor latência e suporte à conformidade. Os desafios envolvem riscos de segurança, privacidade e padronização de dados em ambientes críticos.</t>
  </si>
  <si>
    <t>A IA é integrada em uma arquitetura de rede "nuvem-borda-terminal" para permitir diagnósticos inteligentes, análise de big data e monitoramento de segurança em tempo real, apoiando a transformação digital segura da indústria nuclear. A governança emerge através de uma arquitetura de proteção em camadas projetada para lidar com riscos de controle e conformidade legal no processamento de dados sensíveis interdepartamentais.</t>
  </si>
  <si>
    <t>A IA (análise de Big Data, reconhecimento de padrões) é aplicada na arquitetura Cloud-Edge-Terminal para permitir cálculo inteligente em tempo real e monitoramento de segurança em processos nucleares. Os benefícios são o aprimoramento da segurança, eficiência e economia da operação nuclear. Os desafios principais são as inconsistências nos padrões de dados e os altos riscos de segurança e privacidade, superados por uma arquitetura de proteção de segurança em camadas.</t>
  </si>
  <si>
    <t>As técnicas usadas incluem inteligência artificial para análise de padrões, big data analytics, edge learning, reconhecimento inteligente de anomalias e coordenação cloud–edge–terminal, além de virtualização, containerização, sensores IoT e modelos de decisão em tempo real.</t>
  </si>
  <si>
    <t>O estudo emprega mineração de big data e análise para consciência situacional de segurança (SSA) e predição de incidentes, além de reconhecimento de padrões para melhorias estratégicas. A tecnologia de "edge learning" (aprendizado na borda) é utilizada para computação de privacidade e análise preliminar de dados em tempo real, reduzindo a pressão na nuvem.</t>
  </si>
  <si>
    <t>As técnicas de IA utilizadas incluem cálculo inteligente em tempo real e reconhecimento de padrões em inteligência artificial no lado da nuvem. O sistema aproveita Big Data e Data Mining para análise de situação de segurança (SSA) e melhorias de estratégia. Além disso, a arquitetura suporta a tecnologia Edge Learning para serviços inteligentes de borda.</t>
  </si>
  <si>
    <t>Os benefícios citados são maior eficiência, menor latência, diagnósticos mais rápidos, detecção precoce de falhas e otimização operacional. Os desafios incluem riscos de cibersegurança, privacidade de dados sensíveis, complexidade de integração, heterogeneidade de dispositivos e altos requisitos de confiabilidade.</t>
  </si>
  <si>
    <t>Os benefícios incluem manutenção preditiva aprimorada, eficiência na alocação de recursos e redução de latência na tomada de decisões críticas através da colaboração borda-nuvem. Os desafios centrais são as barreiras industriais proeminentes, a inconsistência nos padrões de dados, o acesso a dados heterogêneos de múltiplas fontes e os altos riscos de segurança e controle.</t>
  </si>
  <si>
    <t>Os benefícios incluem o aumento da eficiência de alocação de recursos, a baixa latência e alta confiabilidade de comunicação através do processamento na borda. Os desafios são as barreiras da indústria e padrões de dados não uniformes, além dos altos riscos de segurança e privacidade de dados confidenciais que podem levar a perdas substanciais.</t>
  </si>
  <si>
    <t>A governança e ética são tratadas via arquitetura de segurança em camadas (cloud–edge–terminal), contemplando autenticação, controle de acesso, auditoria, proteção contra intrusão, segurança de dados, isolamento, criptografia e conformidade com requisitos legais do setor nuclear. O estudo enfatiza proteção integral e accountability em todas as camadas da plataforma.</t>
  </si>
  <si>
    <t>A governança é tratada através de uma arquitetura de segurança em camadas que implementa autenticação de identidade, controle de acesso, auditoria de segurança e mascaramento de dados estáticos para conformidade. O sistema enfatiza a proteção de dados confidenciais e técnicos, garantindo confidencialidade, integridade e a destruição física segura de dados quando necessário</t>
  </si>
  <si>
    <t>A governança é abordada pela necessidade de proteger a segurança e a privacidade de dados altamente confidenciais. Os estudos focam na necessidade de cumprir várias regulamentações legais, implementando uma arquitetura de proteção de segurança em camadas que inclui controle de acesso, auditoria e sistemas de Consciência de Situação de Segurança (SSA). As regulamentações LGPD e GDPR não são mencionadas.</t>
  </si>
  <si>
    <t>Privacy Protection and Data Security Enhancement (PPDSE) Model in Student Management Information Systems</t>
  </si>
  <si>
    <t>https://www.scopus.com/inward/record.uri?eid=2-s2.0-85206636978&amp;doi=10.1109%2FICESC60852.2024.10690000&amp;partnerID=40&amp;md5=d26fe48db114c66588713654b2aa89c4</t>
  </si>
  <si>
    <t>Pan, B.</t>
  </si>
  <si>
    <t>A IA aparece no estudo principalmente como contexto para riscos de privacidade associados ao uso de ML e LLMs, destacando a necessidade de proteger dados sensíveis em sistemas de informação. Os benefícios incluem maior eficiência de gestão e suporte à decisão; os desafios envolvem vazamento de dados, ataques, criptografia insuficiente e vulnerabilidades na transmissão. A governança é tratada via identificação sistemática de riscos, camadas de segurança e controles operacionais.</t>
  </si>
  <si>
    <t>O estudo não aplica IA para automatizar a conformidade, mas propõe um modelo (PPDSE) baseado em criptografia Paillier para aprimorar a segurança e privacidade de dados em Sistemas de Informação de Gestão Estudantil (SMIS), garantindo proteção em ambientes de nuvem. A estrutura de governança foca na identificação de riscos de ativos de dados (negócios e privacidade) e na aplicação de medidas de segurança multicamadas para prevenir vazamentos e acessos não autorizados</t>
  </si>
  <si>
    <t>A IA (ML e LLMs) é citada como um fator que torna as questões de privacidade e segurança de dados cada vez mais importantes. O modelo PPDSE proposto visa aprimorar a conformidade em Sistemas de Informação de Gestão Estudantil (SMIS) através da proteção da privacidade e segurança de dados. O principal benefício é permitir operações seguras de dados sem expor a informação subjacente. O desafio é a necessidade de identificar riscos em ativos de dados (como logins anormais, senhas fracas e ataques de hackers). A governança é estruturada em um modelo de Proteção de Privacidade e Aprimoramento da Segurança de Dados (PPDSE), que utiliza técnicas criptográficas avançadas.</t>
  </si>
  <si>
    <t>As técnicas mencionadas incluem aprendizado de máquina em estudos relacionados (como KNN, SVM, MLP), federated learning, deep learning, e métodos como zero-knowledge proofs e homomorphic encryption (Paillier). O artigo aplica criptografia homomórfica para fortalecer a proteção de dados no SMIS.</t>
  </si>
  <si>
    <t>Embora a revisão de literatura cite o uso de Deep Learning e Aprendizado Federado por outros autores para privacidade, a solução técnica proposta neste trabalho emprega o algoritmo de criptografia Paillier (criptografia homomórfica) e arquiteturas J2EE/.NET. A técnica permite operações parciais de descriptografia e verificação de conhecimento zero, assegurando a integridade dos dados sem revelar informações originais.</t>
  </si>
  <si>
    <t>A IA e o Aprendizado de Máquina (ML) são reconhecidos por seu rápido progresso, juntamente com o avanço dos Large Language Models (LLMs), que intensificam as preocupações com privacidade e segurança. Para a conformidade (segurança e privacidade), o modelo PPDSE utiliza o algoritmo de criptografia Paillier, que é uma técnica criptográfica avançada, para garantir a criptografia homomórfica. Outras técnicas citadas na literatura relacionada incluem Differential Privacy e Federated Learning.</t>
  </si>
  <si>
    <t>Os benefícios citados pela literatura incluem maior segurança, uso eficiente de dados, proteção de privacidade e capacidade de operar sobre dados criptografados sem exposição. Os desafios envolvem riscos de ataque, falhas de backup, vazamento por transmissão, fraca criptografia, erros operacionais, além dos custos computacionais e de comunicação do modelo.</t>
  </si>
  <si>
    <t>Os benefícios do modelo proposto incluem a realização segura de operações em dados criptografados (anonimato homomórfico) e uma sobrecarga computacional gerenciável e estável (0,08s a 1,013s) mesmo com o aumento do tamanho dos dados. Os desafios citados envolvem o crescimento da sobrecarga de comunicação conforme o volume de dados aumenta e a mitigação de riscos de nuvem, como isolamento insuficiente de dados e falhas na transmissão.</t>
  </si>
  <si>
    <t>O principal benefício direto do PPDSE é permitir verificação de conhecimento zero em dados criptografados e anonimato homomórfico, o que melhora a segurança e protege a privacidade do usuário durante o processamento de dados. Os desafios envolvem os riscos inerentes ao ambiente de nuvem, como a exposição de dados sensíveis devido a hackers ou proteção de segurança insuficiente. Os custos de segurança (sobrecarga computacional e de comunicação) mostraram-se gerenciáveis (por exemplo, 0,08s para 256 pontos de dados).</t>
  </si>
  <si>
    <t>A governança é tratada por um processo formal de identificação de riscos, categorização de dados, definição de ameaças e uso de controles como criptografia forte, isolamento, acesso seguro e auditoria. O estudo enfatiza conformidade com princípios de segurança, privacidade e accountability, alinhando-se a padrões regulatórios de proteção de dados.</t>
  </si>
  <si>
    <t>A governança é tratada tecnicamente através da categorização de riscos de dados (privacidade de inquilinos vs. dados operacionais) e da implementação de criptografia robusta para garantir confidencialidade, integridade e disponibilidade. A adesão a princípios de privacidade é assegurada pelo uso de criptografia Paillier, que protege informações sensíveis de estudantes contra ameaças como roubo de contas, ataques de hackers e armazenamento inseguro.</t>
  </si>
  <si>
    <t>Os estudos abordam a governança focando na proteção de dados e segurança em SMIS. A transparência e a ética são implementadas através da criptografia homomórfica (algoritmo Paillier), que permite operações em dados criptografados sem expor a informação original e suporta verificação de conhecimento zero. O GDPR e a LGPD não são explicitamente mencionados no contexto deste estudo, mas o objetivo é proteger as informações sensíveis dos estudantes.</t>
  </si>
  <si>
    <t>Taiwan</t>
  </si>
  <si>
    <t>Reimagining the Journal Editorial Process: An AI-Augmented Versus an AI-Driven Future</t>
  </si>
  <si>
    <t>https://www.scopus.com/inward/record.uri?eid=2-s2.0-85182465522&amp;doi=10.17705%2F1jais.00864&amp;partnerID=40&amp;md5=7d978e6be149813ddd7a6a255b635c12</t>
  </si>
  <si>
    <t>Shmueli, G.; Ray, S.</t>
  </si>
  <si>
    <t>A IA é usada para prever resultados, recomendar ações e auxiliar decisões por meio de machine learning, NLP, modelos preditivos e sistemas de recomendação, melhorando eficiência e reduzindo sobrecarga humana. Os benefícios incluem maior rapidez, padronização e apoio à tomada de decisão, enquanto os desafios envolvem vieses, falta de transparência, privacidade, segurança e risco de excessiva automatização que compromete valores humanos e governança.</t>
  </si>
  <si>
    <t>A IA é aplicada no processo editorial para automatizar verificações de integridade (plágio e reprodutibilidade) e auxiliar na triagem de manuscritos, recomendando revisores e prevendo impacto. O modelo de governança sugerido é o "IA-aumentada" (copiloto), onde humanos mantêm o controle final para garantir a responsabilidade e mitigar riscos éticos, em contraste com sistemas autônomos.</t>
  </si>
  <si>
    <t xml:space="preserve">A IA tem sido aplicada para apoiar decisões complexas por meio de modelos preditivos, recomendação, análise textual e automação de etapas críticas, reduzindo a carga dos avaliadores e padronizando processos. Os benefícios surgem na maior eficiência e consistência, enquanto os desafios envolvem transparência limitada, possíveis vieses e riscos de privacidade. Os modelos de governança enfatizam explicabilidade, limites claros à autonomia da IA e responsabilidade humana em todas as decisões. </t>
  </si>
  <si>
    <t>As técnicas mais usadas são aprendizado supervisionado (regressão, árvores, redes neurais), aprendizado não supervisionado (clustering, redução de dimensionalidade, sistemas de recomendação) e Processamento de Linguagem Natural (PLN), incluindo modelos baseados em transformers e LLMs como GPT. Essas técnicas apoiam classificação, análise de texto, recomendações e automatização do processo avaliativo.</t>
  </si>
  <si>
    <t>As técnicas destacadas incluem Aprendizado Supervisionado e Não Supervisionado para previsões, e Processamento de Linguagem Natural (PLN), especificamente Grandes Modelos de Linguagem (LLMs), para auxiliar na escrita e síntese. O estudo também explora o uso de Redes Adversárias Generativas (GANs) e Aprendizado por Reforço (RL) em cenários futuros mais autônomos e iterativos</t>
  </si>
  <si>
    <t>As técnicas mais recorrentes incluem aprendizado supervisionado e não supervisionado para previsão e classificação, sistemas de recomendação para apoio à decisão e métodos avançados de NLP — como transformers e LLMs — para análise e geração de texto. Essas abordagens permitem automatizar triagens, sintetizar conteúdos e apoiar julgamentos humanos.</t>
  </si>
  <si>
    <t>Os principais benefícios incluem agilidade, redução de carga de trabalho, padronização, maior precisão e suporte a decisões complexas. Os desafios citados incluem viés algorítmico, falta de interpretabilidade, riscos de manipulação de métricas, privacidade, uso excessivo de dados, além de alinhamento inadequado entre valores humanos e objetivos do sistema, podendo gerar decisões distorcidas ou injustas.</t>
  </si>
  <si>
    <t>Os benefícios incluem maior eficiência, redução de atrito administrativo, superação de barreiras linguísticas e melhor correspondência entre revisores e artigos. Os desafios críticos citados são o viés de dados, a invasão de privacidade, a "tirania das métricas" (foco excessivo em números em detrimento da qualidade) e a perda da interação humana essencial para a construção da comunidade científica.</t>
  </si>
  <si>
    <t>Os benefícios incluem maior agilidade, padronização do processo, redução de esforço manual e melhoria da comunicação entre atores do sistema. Os principais desafios mencionados são viés algorítmico, decisões pouco interpretáveis, riscos de manipulação de métricas e preocupações com proteção de dados e privacidade. A literatura destaca que ganhos operacionais podem vir acompanhados de custos éticos e sociais relevantes.</t>
  </si>
  <si>
    <t>Os estudos abordam governança enfatizando transparência, explicabilidade, responsabilidade humana, auditoria das decisões algorítmicas e limites à autonomia dos sistemas, defendendo que IA deve servir para aumentar a capacidade humana e não substituí-la. Questões éticas como privacidade, segurança dos dados, vieses e aderência a normas como LGPD/GDPR aparecem como preocupações centrais.</t>
  </si>
  <si>
    <t>O estudo aborda a ética alertando sobre o problema do "alinhamento de valores", onde os objetivos da IA podem divergir das normas humanas, e defende a manutenção da agência humana para assegurar a prestação de contas. A governança de dados é discutida em relação à privacidade e segurança das informações geradas, questionando a adequação de sistemas proprietários e a necessidade de transparência algorítmica.</t>
  </si>
  <si>
    <t xml:space="preserve">Os estudos reforçam a necessidade de governança centrada na transparência, supervisão humana e auditoria contínua das decisões algorítmicas, além de controles para evitar vieses e uso indevido de dados. Há forte ênfase em respeitar princípios de privacidade e responsabilidade alinhados a regulações como LGPD e GDPR, garantindo que a IA apoie — e não substitua — os julgamentos humanos. </t>
  </si>
  <si>
    <t>An empirical study of automated privacy requirements classification in issue reports</t>
  </si>
  <si>
    <t>https://www.scopus.com/inward/record.uri?eid=2-s2.0-85163735171&amp;doi=10.1007%2Fs10515-023-00387-9&amp;partnerID=40&amp;md5=6b782c718a816e11b2cc1d523d328f6f</t>
  </si>
  <si>
    <t>Sangaroonsilp, P.; Choetkiertikul, M.; Dam, H.K.; Ghose, A.</t>
  </si>
  <si>
    <t>A IA é aplicada ao gerenciamento de projetos de IA por meio de automação de processos, análise inteligente, dashboards preditivos e suporte à tomada de decisão, buscando reduzir erros e melhorar eficiência. Os benefícios incluem maior precisão, melhor planejamento e execução. Desafios apontados incluem falta de governança, qualidade dos dados e alinhamento entre negócio e tecnologia.</t>
  </si>
  <si>
    <t>A IA e o Processamento de Linguagem Natural (NLP) são aplicados para classificar automaticamente requisitos de privacidade em relatórios de problemas (issue reports) de software, alinhando o desenvolvimento ágil a regulações como o GDPR e CCPA. Isso cria uma estrutura de governança que facilita a verificação de conformidade "just-in-time" e reduz o esforço manual na identificação de obrigações de privacidade.</t>
  </si>
  <si>
    <t>A IA (ML e NLP) é aplicada para classificar automaticamente requisitos de privacidade em relatórios de issues, substituindo o processo manual que é trabalhoso e demorado. O benefício é facilitar o alinhamento e a verificação da conformidade para o desenvolvimento de sistemas privacy-aware. O desafio é a complexidade de identificar manualmente esses requisitos em milhares de relatórios.</t>
  </si>
  <si>
    <t>O estudo menciona o uso de machine learning, análise inteligente de dados, automação baseada em IA e ferramentas de avaliação de desempenho, utilizadas para monitorar fatores críticos do projeto, prever riscos e apoiar decisões.</t>
  </si>
  <si>
    <t>O estudo emprega e compara seis técnicas de PLN e Aprendizado de Máquina: Bag-of-Words (BoW), N-gram IDF, TF-IDF, Word2Vec, Redes Neurais Convolucionais (CNN) e BERT. Os resultados indicaram que técnicas tradicionais como N-gram IDF e TF-IDF superaram modelos complexos de Deep Learning (BERT) neste contexto específico de dados limitados.</t>
  </si>
  <si>
    <t>As técnicas de PLN e ML mais empregadas e avaliadas são Bag-of-Words (BoW), N-gram IDF, TF-IDF, Word2Vec, CNN e BERT. As técnicas tradicionais de word embedding mostraram-se mais adequadas para a classificação, e o N-gram IDF e o TF-IDF foram os que apresentaram o melhor desempenho na precisão (MRR 0.6093).</t>
  </si>
  <si>
    <t>Os principais benefícios citados incluem melhoria na precisão das decisões, aumento da eficiência operacional e melhor desempenho dos projetos. Os desafios envolvem riscos relacionados a dados inadequados, falta de competências técnicas, falhas de comunicação e ausência de estruturas de governança adequadas.</t>
  </si>
  <si>
    <t>Os principais benefícios são a redução do trabalho manual intensivo, economia de tempo e a mitigação de erros humanos na classificação de milhares de relatórios de problemas. Os desafios incluem o desempenho inferior de modelos de Deep Learning em datasets pequenos, o desequilíbrio de dados (distribuição de cauda longa) e a subjetividade na anotação manual dos dados de treinamento.</t>
  </si>
  <si>
    <t>O principal benefício é a redução de custos e agilidade, pois a classificação automática é mais rápida que as 138 horas-pessoa exigidas pelo processo manual. Em termos de precisão, as técnicas tradicionais superaram as linhas de base. O desafio é a dependência de dados rotulados manualmente que podem introduzir viés e a inadequação de modelos de Deep Learning (BERT/CNN) para datasets menores.</t>
  </si>
  <si>
    <t>A governança é abordada como fator crítico para projetos de IA, destacando a necessidade de qualidade dos dados, processos bem definidos, comunicação eficaz e supervisão contínua. Embora o artigo não trate diretamente de GDPR/LGPD, enfatiza responsabilidade, transparência e alinhamento estratégico como pilares éticos essenciais.</t>
  </si>
  <si>
    <t>A governança é abordada através do desenvolvimento de uma taxonomia de 71 requisitos de privacidade derivados diretamente de regulações como GDPR, ISO/IEC 29100 e CCPA. O estudo foca em categorias como "Notificação", "Participação do Usuário" e "Segurança" para garantir que o desenvolvimento de software incorpore transparência e responsabilidade no tratamento de dados pessoais.</t>
  </si>
  <si>
    <t>Os estudos abordam a governança pela necessidade de aderir a regulamentações como o GDPR (General Data Protection Regulations) da UE e o CCPA (California Consumer Privacy Act). A IA aprimora a transparência e a prestação de contas (accountability) ao automatizar a verificação de conformidade no desenvolvimento de software. A regulamentação brasileira LGPD não é mencionada nas fontes.</t>
  </si>
  <si>
    <t>https://www.scopus.com/pages/publications/85163483850?origin=resultslist</t>
  </si>
  <si>
    <t>Cejas, Orlando Amaral, Azeem, Muhammad Ilyas, Abualhaija, Sallam, Briand, Lionel C.</t>
  </si>
  <si>
    <t>A IA é aplicada por meio de NLP e modelos semânticos para automatizar a verificação de conformidade entre acordos de processamento de dados (DPAs) e requisitos do GDPR, gerando representações linguísticas e comparando-as a requisitos legais. Benefícios incluem agilidade e alta precisão na detecção de violações; desafios citados envolvem complexidade semântica, ambiguidade jurídica e limitações dos métodos tradicionais de similaridade semântica.</t>
  </si>
  <si>
    <t>A IA é aplicada através de Processamento de Linguagem Natural (NLP) para verificar automaticamente a conformidade de Acordos de Processamento de Dados (DPAs) com o GDPR, identificando violações e gerando relatórios detalhados. A governança foca na extração de requisitos legais ("shall" requirements) e na criação de glossários para garantir que o processamento de dados pessoais siga as normas de privacidade.</t>
  </si>
  <si>
    <t>A IA vem sendo aplicada principalmente por meio de NLP e modelos semânticos para automatizar a verificação de conformidade entre documentos e requisitos legais, permitindo analisar linguagem complexa e identificar violações com mais precisão. Os benefícios incluem maior agilidade e redução do esforço humano, enquanto os desafios envolvem ambiguidades jurídicas e limitações de modelos genéricos. Estruturas de governança aparecem na forma de requisitos claros, trilhas de auditoria e validação com especialistas legais.</t>
  </si>
  <si>
    <t>O artigo destaca o uso de Processamento de Linguagem Natural (NLP), especialmente semantic role labeling, semantic frames, lemmatization, dependency parsing e WordNet/VerbNet para inferência semântica. Também são mencionadas técnicas baseadas em modelos como BERT e ferramentas de SRL usadas como baseline.</t>
  </si>
  <si>
    <t>O estudo utiliza Processamento de Linguagem Natural (NLP) baseado em regras semânticas e sintáticas (como part-of-speech tagging e dependency parsing) para decompor textos legais em representações baseadas em Semantic Frames (SF). A abordagem não depende de aprendizado de máquina (Machine Learning) ou Deep Learning devido à escassez de dados rotulados, optando por regras manuais refinadas com especialistas.</t>
  </si>
  <si>
    <t>As técnicas mais utilizadas incluem Processamento de Linguagem Natural — como análise sintática, semantic role labeling e semantic frames — além do uso de recursos lexicais como WordNet e VerbNet, e modelos baseados em BERT empregados em ferramentas de SRL. Essas técnicas permitem decompor sentenças e comparar seu conteúdo com requisitos regulatórios.</t>
  </si>
  <si>
    <t>Os principais benefícios são redução do tempo de análise, maior precisão, padronização e capacidade de identificar lacunas de conformidade em larga escala. Os desafios incluem ambiguidade de linguagem jurídica, baixa similaridade semântica em textos variados, dependência de especialistas para curadoria, além de limitações de ferramentas genéricas de NLP, que podem gerar falsos positivos/negativos.</t>
  </si>
  <si>
    <t>Os principais benefícios incluem a economia significativa de tempo (automação reduz a análise de 30 min para 2,5 min por documento) e o aumento da precisão na detecção de violações em comparação com ferramentas genéricas de NLP. Os desafios citados envolvem a complexidade da linguagem jurídica, a ambiguidade inerente aos textos legais e a necessidade de garantir a cobertura completa dos requisitos do GDPR.</t>
  </si>
  <si>
    <t xml:space="preserve">A literatura destaca ganhos como maior precisão, economia de tempo e capacidade de detectar inconsistências em grande escala. Em contrapartida, surgem desafios como erros causados por baixa similaridade semântica, necessidade de curadoria especializada, ambiguidade no texto jurídico e possibilidade de falsas conclusões quando apenas ferramentas genéricas de NLP são usadas. </t>
  </si>
  <si>
    <t>O estudo aborda governança enfatizando alinhamento estrito com o GDPR, extração de requisitos legais em colaboração com especialistas e mecanismos de auditoria de decisões automatizadas por meio de matching degrees que permitem revisão humana. Também reforça a necessidade de transparência, rastreabilidade e tratamento fiel ao texto legal para evitar interpretações equivocadas — aspectos centrais para conformidade ética em sistemas automatizados.</t>
  </si>
  <si>
    <t>O estudo aborda a governança e a ética focando estritamente na adesão ao GDPR, extraindo obrigações legais para controladores e processadores de dados. A transparência é garantida pela geração de relatórios que explicam as decisões de conformidade, e a prestação de contas é reforçada ao verificar se os acordos incluem cláusulas obrigatórias sobre segurança, notificação de violações e direitos dos titulares dos dados.</t>
  </si>
  <si>
    <t xml:space="preserve">Os estudos tratam governança e ética enfatizando alinhamento estrito ao GDPR, rastreabilidade das decisões automatizadas e revisão humana quando o nível de confiança é baixo. Reforça-se a importância de transparência, uso responsável das técnicas de IA e interpretação fiel ao texto legal para garantir prestação de contas e aderência a regulações como GDPR/LGPD. </t>
  </si>
  <si>
    <t>Aligning Federated Learning with Existing Trust Structures in Health Care Systems</t>
  </si>
  <si>
    <t>https://www.scopus.com/pages/publications/85152316928?origin=resultslist</t>
  </si>
  <si>
    <t>Abdullahi, Imrana Yari,Raab, René,Küderle, Arne,Eskofier, Björn</t>
  </si>
  <si>
    <t>Alemanha</t>
  </si>
  <si>
    <t>No contexto do artigo, a IA aparece por meio do aprendizado federado (FL), usado para treinar modelos sem violar normas de privacidade como GDPR. A automação ocorre ao permitir aprendizado distribuído sem centralizar dados sensíveis, reduzindo riscos regulatórios e alinhando processamento de IA às estruturas existentes de confiança no sistema de saúde.</t>
  </si>
  <si>
    <t>O estudo propõe o framework CareNetFL que aplica Aprendizado Federado em redes P2P para automatizar o treinamento de modelos sem centralizar dados, garantindo soberania e conformidade regulatória em sistemas de saúde. A governança integra estruturas de confiança existentes, usando médicos como agregadores para mitigar riscos de privacidade e segurança, embora enfrente desafios de escalabilidade em arquiteturas híbridas.</t>
  </si>
  <si>
    <t>No artigo, a IA aparece principalmente por meio do aprendizado federado, utilizado para melhorar a aderência a normas de privacidade ao treinar modelos sem centralizar dados sensíveis. Essa abordagem fortalece a conformidade regulatória ao manter os dados sob controle dos pacientes, ao mesmo tempo em que enfrenta desafios como heterogeneidade, comunicação limitada e necessidade de estruturas de confiança incorporadas à própria arquitetura.</t>
  </si>
  <si>
    <t>O artigo destaca o aprendizado federado, aprendizado de máquina tradicional, uso de diferential privacy (DP), secure multi-party computation (SMPC) e homomorphic encryption (HE). Essas técnicas são usadas para treinar modelos distribuídos com proteção de dados, evitando violações regulatórias.</t>
  </si>
  <si>
    <t>A técnica central empregada é o Aprendizado Federado (Federated Learning - FL) para treinamento distribuído de modelos de Machine Learning (ML) na borda. O estudo também integra técnicas de preservação de privacidade, como Privacidade Diferencial e Computação Multipartidária Segura (SMPC), além de sistemas de autenticação baseados em identidade para garantir segurança durante o ciclo de vida do modelo.</t>
  </si>
  <si>
    <t>As técnicas destacadas incluem aprendizado de máquina treinado via federated learning, combinado com mecanismos de proteção como differential privacy, secure multi-party computation e homomorphic encryption. Embora não trate diretamente de NLP ou sistemas especialistas, o artigo enfatiza essas técnicas como pilares para garantir treinamento distribuído com preservação da privacidade.</t>
  </si>
  <si>
    <t>Entre os benefícios, o texto aponta maior privacidade, redução de riscos de centralização, melhor alinhamento com normas como GDPR, e maior confiança dos stakeholders. Entre os desafios, destaca heterogeneidade dos dados, baixa banda, latência, risco de participantes maliciosos, e necessidade de autenticação e governança robusta.</t>
  </si>
  <si>
    <t>Os principais benefícios são a soberania dos dados, resiliência a falhas únicas e privacidade aprimorada ao manter dados sensíveis nos dispositivos locais dos pacientes. Os desafios citados incluem a latência de comunicação devido a recursos limitados na borda, a distribuição de dados não uniforme (não-IID) e a heterogeneidade dos sistemas, que podem degradar a precisão e a velocidade de convergência dos modelos.</t>
  </si>
  <si>
    <t>O texto aponta como benefícios a ampliação da privacidade, o alinhamento com regulações, o aumento da confiança dos stakeholders e a possibilidade de treinar modelos úteis sem concentrar dados. Entre os desafios, destaca-se o risco de participantes maliciosos, a dificuldade de lidar com dados altamente heterogêneos, limitações de banda e problemas de desempenho decorrentes de dispositivos distribuídos.</t>
  </si>
  <si>
    <t>O estudo enfatiza governança baseada em estruturas de confiança já existentes (praticantes, provedores e pacientes), além de requisitos de certificação, autorização, rastreabilidade e controle de versões. O cumprimento de normas como GDPR é abordado via restrições de acesso, identidade verificável, consentimento explícito, e mecanismos de segurança como DP e SMPC.</t>
  </si>
  <si>
    <t>O artigo aborda a governança alinhando o processo de aprendizado às estruturas de confiança clínica existentes, garantindo a responsabilidade legal e a conformidade com o GDPR através do controle descentralizado de dados. A ética e a prestação de contas são reforçadas por mecanismos de autenticação que verificam a identidade dos participantes, mitigando o risco de atores maliciosos e envenenamento de modelos.</t>
  </si>
  <si>
    <t>A governança é tratada como parte central do processo, envolvendo certificação de modelos, autorização prévia, controle de versões e participação explícita de atores confiáveis, como profissionais de saúde. O estudo reforça que o respeito a regulações como GDPR depende de manter o controle dos dados no edge, exigir consentimento e aplicar técnicas criptográficas e mecanismos de autenticação que garantem rastreabilidade, responsabilidade e segurança de ponta a ponta.</t>
  </si>
  <si>
    <t>If security is required': Engineering and Security Practices for Machine Learning-based IoT Devices</t>
  </si>
  <si>
    <t>https://www.scopus.com/pages/publications/85136240479?origin=resultslist</t>
  </si>
  <si>
    <t>Gopalakrishna, Nikhil Krishna,Anandayuvaraj, Dharun,Detti, Annan,Bland, Forrest Lee,Rahaman, Sazzadur</t>
  </si>
  <si>
    <t>O estudo mostra o uso de machine learning embarcado em dispositivos IoT para apoiar segurança, análise de ameaças, validações e auditorias, permitindo decisões inteligentes de baixa latência e maior controle de riscos. Os principais desafios envolvem limitações de hardware, custo de engenharia, privacidade, proteção de propriedade intelectual e a necessidade de integrar segurança ao ciclo de vida de desenvolvimento. As estruturas de governança citadas incluem práticas internas, análises de risco e conformidade com normas e regulações como GDPR/HIPAA e padrões ISO.</t>
  </si>
  <si>
    <t>O artigo não aborda o uso de IA para automatizar a conformidade, mas sim as práticas de engenharia para desenvolver dispositivos IoT baseados em ML que sejam seguros e conformes. A estrutura de governança que emerge foca no ciclo de vida de desenvolvimento seguro (SDLC), equilibrando custos de engenharia com requisitos regulatórios (como GDPR e HIPAA) e demandas de mercado, onde a segurança é muitas vezes priorizada apenas se for um requisito explícito.</t>
  </si>
  <si>
    <t>A IA (Machine Learning) está sendo aplicada em dispositivos IoT para tomar decisões inteligentes com baixa latência. O benefício principal é a criação de sistemas IoT inteligentes que podem transformar muitos setores da economia. Os desafios são garantir a segurança e a preservação da privacidade, e a governança (segurança) é frequentemente reduzida devido ao custo de engenharia se não for um requisito explícito.</t>
  </si>
  <si>
    <t>As técnicas de IA predominantes são modelos de machine learning otimizados para dispositivos de borda, especialmente redes neurais compactadas via pruning, regularização e métodos de redução de complexidade. Frameworks como TensorFlow/TF-Lite e PyTorch são amplamente usados, com linguagens como Python e C/C++. Não há foco direto em NLP, mas o uso geral de modelos de ML embarcados é central.</t>
  </si>
  <si>
    <t>O estudo não lista técnicas de IA para automação de conformidade, mas detalha técnicas de ML usadas nos dispositivos IoT, como redes neurais otimizadas via pruning (poda) e o uso de frameworks como TensorFlow e PyTorch. Para a verificação de segurança e conformidade, os praticantes confiam majoritariamente em métodos manuais como revisão de código e análise de caixa branca (white-box), em vez de automação por IA.</t>
  </si>
  <si>
    <t>As técnicas de IA mais empregadas são o Aprendizado de Máquina (ML) e o uso de frameworks como TensorFlow/TF-Lite e PyTorch. Para a conformidade (segurança e otimização), são usadas técnicas como poda (pruning) de redes neurais e regularização para adequar modelos aos dispositivos restritos. A segurança é avaliada primariamente por revisão de código e análises white-box.</t>
  </si>
  <si>
    <t>Os benefícios incluem melhor desempenho do sistema, decisões inteligentes no dispositivo, menor dependência da nuvem e potencial aumento de segurança. Já os desafios incluem limitações de memória e processamento, queda de performance, necessidade de especialização técnica, vulnerabilidades de segurança, risco de engenharia reversa e altos custos de implementação de medidas de proteção. Privacidade aparece como um dos maiores problemas mencionados.</t>
  </si>
  <si>
    <t>O foco do texto são os desafios da engenharia de ML em IoT: restrições severas de recursos (memória/energia), alto custo de engenharia para implementar segurança e a falta de expertise. Um desafio específico de privacidade citado é a dificuldade de proteger dados de usuários, levando algumas empresas a optarem por não armazenar dados privados para evitar riscos de conformidade e danos à marca.</t>
  </si>
  <si>
    <t>Os benefícios são o desenvolvimento ágil e a tomada de decisões inteligentes. Os desafios críticos são o custo de engenharia da segurança, os trade-offs entre segurança, consumo de energia, latência e throughput, e a preocupação constante com roubo de IP e engenharia reversa de modelos de ML.</t>
  </si>
  <si>
    <t>Os estudos tratam governança enfatizando conformidade com normas de qualidade (ISO), regulamentações de privacidade como GDPR e HIPAA, e práticas de segurança integradas ao ciclo de engenharia. A ética surge na necessidade de limitar coleta de dados, evitar armazenamento de informações sensíveis e gerenciar responsabilidades de segurança, considerando transparência, risco reputacional e dependência de terceiros (nuvem, ferramentas e modelos).</t>
  </si>
  <si>
    <t>A governança é abordada sob a ótica do "custo de engenharia", onde a adesão a regulamentos (GDPR, HIPAA, normas ISO) compete com o orçamento e o tempo de lançamento. O estudo revela que a ética e a segurança muitas vezes são comprometidas se não forem visíveis ao usuário final, e destaca a preocupação com o roubo de propriedade intelectual (engenharia reversa de modelos) e a confiança não verificada em códigos open-source.</t>
  </si>
  <si>
    <t>A governança e a ética são abordadas pela conformidade com regulamentações governamentais de segurança/segurança e de privacidade como GDPR e HIPAA. O foco é garantir a confiabilidade (trustworthiness) do sistema. A LGPD não é mencionada, mas a abordagem é evitar armazenar quaisquer dados privados nos dispositivos IoT para mitigar riscos de privacidade e segurança.</t>
  </si>
  <si>
    <t>Privacy-compliant software reuse: A framework for considering privacy compliance in software reuse scenarios</t>
  </si>
  <si>
    <t>https://www.scopus.com/pages/publications/85184350153?origin=resultslist</t>
  </si>
  <si>
    <t>Guber, Jenny</t>
  </si>
  <si>
    <t>Israel</t>
  </si>
  <si>
    <t xml:space="preserve">O estudo trata da conformidade regulatória ao integrar privacidade e proteção de dados em cenários de reúso de software, aplicando abordagens como Privacy by Design, taxonomias, ontologias e PETs para avaliar riscos e assegurar compliance com o GDPR. Destacam-se benefícios como maior transparência e mitigação de riscos, e desafios como operacionalizar requisitos de privacidade em artefatos reutilizados. </t>
  </si>
  <si>
    <t>A pesquisa propõe um framework que utiliza aprendizado de máquina guiado por ontologia para identificar e classificar automaticamente discussões sobre privacidade em repositórios de código aberto, visando apoiar a reutilização de software em conformidade com o GDPR. A governança foca na avaliação de artefatos de software existentes para garantir que sua integração não comprometa a conformidade de privacidade do sistema final.</t>
  </si>
  <si>
    <t>A IA (método de machine learning baseado em ontologia) está sendo aplicada para identificar, minerar e classificar discussões e características de privacidade em artefatos de software existentes e repositórios open-source. O benefício é facilitar a avaliação da conformidade para apoiar decisões de reutilização e aprimorar sistemas privacy-aware. O desafio reside em avaliar a conformidade de artefatos existentes (em vez de novos) e preencher a lacuna entre regulamentações legais e requisitos de software.</t>
  </si>
  <si>
    <t xml:space="preserve">As técnicas envolvem ontologias, métodos de machine learning para identificar discussões de privacidade em repositórios open-source, taxonomias para requisitos, frameworks como LINDDUN e PETs (criptografia, anonimização, controle de acesso). Também são empregados modelos de classificação como SVM e REP tree. </t>
  </si>
  <si>
    <t>O estudo emprega técnicas de Aprendizado de Máquina Supervisionado, especificamente classificadores como Reduced Error Pruning (REP) tree e Support Vector Machine (SVM), combinados com a ferramenta de extração de palavras-chave YAKE! e processamento de linguagem natural (lematização, tokenização). O método é aprimorado pelo uso de ontologias de requisitos de privacidade para guiar a classificação.</t>
  </si>
  <si>
    <t>São empregadas técnicas de Aprendizado de Máquina (ML), como os classificadores REP tree e SVM, para distinguir issues relacionados à privacidade em repositórios. O estudo utiliza métodos de Processamento de Linguagem Natural (PLN), como limpeza de texto, tokenização e o extrator YAKE!, melhorados por uma ontologia de privacidade para aumentar a precisão da identificação.</t>
  </si>
  <si>
    <t xml:space="preserve">Os benefícios incluem maior confiança, transparência, suporte à análise de compliance e identificação de riscos antes da integração de software. Os desafios envolvem lacunas entre requisitos legais e técnicos, falta de dados anotados, dificuldade em medir privacidade, riscos de não conformidade e limitações das técnicas de análise estática. </t>
  </si>
  <si>
    <t>Os benefícios incluem a capacidade de analisar automaticamente grandes conjuntos de dados de problemas (issues) para apoiar decisões de reutilização e melhorar a conformidade em sistemas complexos. Os desafios citados envolvem a escassez de datasets anotados sobre privacidade para treinamento, a dificuldade de operacionalizar regulamentos legais para desenvolvedores e a avaliação da conformidade agregada na integração de múltiplos artefatos.</t>
  </si>
  <si>
    <t>Os benefícios incluem o aumento da transparência e confiança, e a alta precisão dos classificadores (F-measure de 86.6% a 87.1%) na identificação de issues de privacidade. Os desafios são a necessidade de objetivamente medir o nível de conformidade de artefatos existentes e a complexidade de garantir a conformidade em arquiteturas distribuídas.</t>
  </si>
  <si>
    <t xml:space="preserve">A governança e ética são abordadas por meio de conceitos como Privacy by Design, estratégias de minimização, controle, informação e demonstração, e uso de ontologias para alinhar práticas de engenharia às exigências do GDPR. O estudo enfatiza accountability, transparência, tratamento adequado de dados e avaliação contínua da conformidade durante o reúso de software. </t>
  </si>
  <si>
    <t>A governança é centralizada na adesão ao GDPR e na aplicação da abordagem Privacy-by-Design (PbD) e Tecnologias de Aprimoramento de Privacidade (PETs) em cenários de reutilização de software. O estudo busca criar um método de avaliação que verifique se artefatos de terceiros ou código aberto implementam estratégias de privacidade (como minimizar e ocultar dados) antes de serem integrados.</t>
  </si>
  <si>
    <t>A governança é focada na adesão ao GDPR e na implementação da abordagem Privacy-by-Design (PbD), que integra considerações de privacidade desde o início. A transparência (informar e demonstrar) é uma estratégia chave, e o objetivo é desenvolver um método que garanta a prestação de contas (accountability) ao manter o nível de conformidade em software reutilizado. A LGPD não é mencionada nas fontes.</t>
  </si>
  <si>
    <t>Bulgária</t>
  </si>
  <si>
    <t>Challenges in mapping European rare disease databases, relevant for ML-based screening technologies in terms of organizational, FAIR and legal principles: scoping review</t>
  </si>
  <si>
    <t>https://www.scopus.com/pages/publications/85173124615?origin=resultslist</t>
  </si>
  <si>
    <t>Raycheva, Ralitsa,Kostadinov, Kostadin,Mitova, Elena,Bogoeva, Nataliya,Iskrov, Georgi</t>
  </si>
  <si>
    <t>A IA é aplicada por meio de sistemas de apoio à decisão baseados em ML, análise de dados de EHRs, HIS e registros de saúde, permitindo diagnósticos mais rápidos e precisos. Os principais benefícios incluem automação, redução do tempo de diagnóstico e integração de dados; os desafios envolvem qualidade e interoperabilidade dos dados, sustentabilidade, riscos de privacidade e barreiras legais como GDPR. A governança destaca necessidade de padrões, consentimento adequado, transparência e uso de princípios FAIR.</t>
  </si>
  <si>
    <t>A Inteligência Artificial e o Aprendizado de Máquina (ML) são aplicados para desenvolver suporte à decisão clínica e tecnologias de triagem que aceleram o diagnóstico de doenças raras ao analisar registros eletrônicos e biobancos. Os benefícios incluem diagnósticos mais rápidos e precisos, enquanto os desafios de governança envolvem a fragmentação de dados e a necessidade de aderir rigorosamente aos princípios FAIR e regulamentos legais.</t>
  </si>
  <si>
    <t>A IA tem sido usada para apoiar decisões diagnósticas e gerenciar grandes volumes de dados provenientes de registros eletrônicos, permitindo análises mais rápidas, integradas e precisas em ambientes regulados. Os benefícios incluem automação, maior eficiência e suporte clínico, enquanto os desafios envolvem qualidade dos dados, interoperabilidade, riscos de privacidade e restrições legais. Nesse contexto, estruturas de governança enfatizam princípios FAIR, proteção de dados, padronização e conformidade com o GDPR.</t>
  </si>
  <si>
    <t>As técnicas mais empregadas incluem Machine Learning, análise de similaridade fenotípica, ferramentas de diagnóstico automatizado, interoperabilidade via APIs e modelagem semântica para padronização de dados. Bases como RD-Connect e Phenomizer utilizam ML e métodos de PLN para análise de registros clínicos e dados fenotípicos.</t>
  </si>
  <si>
    <t>As técnicas mais empregadas citadas são o Aprendizado de Máquina (ML) e a Inteligência Artificial (IA) para a criação de modelos diagnósticos baseados em similaridade fenotípica (como o Phenomizer e RDAD) e triagem genética neonatal. O estudo foca na preparação e mapeamento de bancos de dados para viabilizar o uso dessas tecnologias analíticas avançadas</t>
  </si>
  <si>
    <t>As técnicas mais empregadas incluem modelos de machine learning para reconhecimento de padrões, ferramentas baseadas em similaridade fenotípica e sistemas de apoio à decisão que integram ontologias e modelagem semântica. Também são comuns pipelines interoperáveis via APIs, que facilitam a extração, padronização e uso ético de dados sensíveis.</t>
  </si>
  <si>
    <t>Os benefícios citados incluem automação, maior precisão no diagnóstico, rapidez no processamento de grandes bases e melhor integração de dados. Entre os desafios destacam-se privacidade, proteção de dados sensíveis, viés, falta de padronização, interoperabilidade limitada, risco de reidentificação e incertezas legais envolvendo GDPR, consentimento e reutilização de dados.</t>
  </si>
  <si>
    <t>Os principais benefícios são o encurtamento da "odisseia diagnóstica" dos pacientes e a melhoria na tomada de decisão clínica, permitindo tratamentos mais eficazes. Os desafios incluem a baixa qualidade e heterogeneidade dos dados (silos), falta de interoperabilidade, riscos à privacidade devido ao pequeno tamanho das amostras e barreiras legais no compartilhamento transfronteiriço.</t>
  </si>
  <si>
    <t>Os benefícios mais citados são a aceleração do diagnóstico, a melhoria da precisão analítica e a otimização da integração entre diferentes bases de dados. Em contrapartida, os desafios incluem riscos de reidentificação, ausência de padronização, limitações de interoperabilidade, questões éticas e obstáculos regulatórios relacionados ao GDPR e ao compartilhamento seguro de dados.</t>
  </si>
  <si>
    <t>Os estudos reforçam governança baseada em transparência, consentimento informado, proteção de dados por design, limitação de propósito e minimização de riscos de reidentificação. A ética é tratada com foco na confiança dos pacientes, necessidade de clareza na reutilização de dados, alinhamento ao GDPR e princípios FAIR, além de diretrizes para anonimização, pseudonimização e gestão responsável de dados sensíveis, especialmente genéticos.</t>
  </si>
  <si>
    <t>Os estudos abordam a governança focando na conformidade estrita com o GDPR, destacando a necessidade de "proteção de dados por design", gestão de consentimento informado e transparência no uso secundário de dados. A ética é tratada através da exigência de confiança entre partes interessadas e o uso de técnicas de pseudonimização para proteger os direitos dos titulares dos dados.</t>
  </si>
  <si>
    <t>Os estudos reforçam a importância de governança baseada em transparência, consentimento robusto, proteção de dados por design e clareza na definição de propósitos. Há forte ênfase no cumprimento do GDPR, especialmente no tratamento de dados sensíveis, anonimização, pseudonimização e limites para reutilização. A ética aparece ligada à confiança do paciente, responsabilização institucional e necessidade de práticas consistentes para mitigar riscos e assegurar uso justo da IA.</t>
  </si>
  <si>
    <t>Itália</t>
  </si>
  <si>
    <t>Detecting privacy requirements from User Stories with NLP transfer learning models</t>
  </si>
  <si>
    <t>https://www.scopus.com/pages/publications/85124186150?origin=resultslist</t>
  </si>
  <si>
    <t>Casillo, Francesco,Deufemia, Vincenzo,Gravino, Carmine</t>
  </si>
  <si>
    <t>A IA é aplicada para detectar automaticamente requisitos de privacidade em User Stories usando NLP, análise semântica/sintática e deep learning, permitindo identificar termos sensíveis e padrões de privacidade. Os benefícios incluem maior precisão e apoio a desenvolvedores sem expertise jurídica; os desafios envolvem escassez de dados, dificuldade de interpretação e variação linguística; a governança surge com uso de dicionários, modelos treinados e práticas que reduzam riscos no início do desenvolvimento.</t>
  </si>
  <si>
    <t>O estudo aplica Deep Learning e Transfer Learning para detectar automaticamente requisitos de privacidade em User Stories (histórias de usuário) no desenvolvimento ágil, mitigando a falta de expertise jurídica dos desenvolvedores. O principal benefício é a identificação precoce de riscos de privacidade com uma precisão melhorada em cerca de 10%, enquanto o desafio central é a escassez de conjuntos de dados curados para treinar os modelos.</t>
  </si>
  <si>
    <t xml:space="preserve">A IA tem sido aplicada para automatizar a detecção de requisitos de privacidade em sistemas de informação por meio de NLP e modelos de deep learning, capazes de analisar a estrutura semântica de textos e identificar riscos de conformidade desde cedo. Os principais benefícios incluem maior precisão e redução de esforço manual, enquanto os desafios vão da escassez de dados rotulados à complexidade interpretativa. A governança emerge no uso de dicionários de privacidade, modelos auditáveis e processos que apoiam decisões mais seguras. </t>
  </si>
  <si>
    <t>As técnicas mais empregadas são NLP (tokenização, POS tagging, NER, dependências sintáticas), modelos de deep learning com CNN, aprendizado por Transfer Learning e uso de dicionários linguísticos de privacidade, combinando análise lexical e semântica para classificar disclosures em User Stories.</t>
  </si>
  <si>
    <t>As técnicas empregadas combinam Processamento de Linguagem Natural (NLP) (extração de entidades, POS tagging) com Redes Neurais Convolucionais (CNN) pré-treinadas via Transfer Learning para classificação de texto. O estudo compara essa abordagem avançada com métodos convencionais de Machine Learning como SVM, Random Forest, Naive Bayes e Regressão Logística.</t>
  </si>
  <si>
    <t xml:space="preserve">As técnicas mais utilizadas incluem processamento de linguagem natural — tokenização, POS tagging, análise de dependências e reconhecimento de entidades — combinadas com modelos de aprendizado profundo, como redes convolucionais e estratégias de Transfer Learning. Esses métodos enriquecem o texto com sinais sintáticos e semânticos que permitem identificar potenciais violações ou requisitos de privacidade. </t>
  </si>
  <si>
    <t>Os principais benefícios citados são maior precisão, automação de detecção de requisitos de privacidade, redução de erros e agilidade na engenharia de requisitos; já os desafios incluem baixa disponibilidade de dados rotulados, possíveis viéses nos modelos, dificuldade de interpretar decisões e limitações do contexto semântico dos textos.</t>
  </si>
  <si>
    <t>Os benefícios incluem a automação da detecção de Requisitos Não Funcionais (NFRs) de privacidade, apoiando a criação de sistemas conscientes de privacidade desde o design. Os desafios citados envolvem a dificuldade dos stakeholders em especificar requisitos de privacidade e o risco de modelos de Deep Learning serem afetados por ruídos nos dados, às vezes perdendo para métodos mais simples.</t>
  </si>
  <si>
    <t xml:space="preserve">Os benefícios destacados são a melhora na precisão da identificação de requisitos, maior agilidade no processo e redução de erros decorrentes da interpretação humana. Entre os desafios aparecem limitações de dados, risco de vieses, dificuldade de explicação das decisões e sensibilidade ao contexto linguístico, o que pode afetar a confiabilidade das análises. </t>
  </si>
  <si>
    <t>Os estudos tratam governança e ética ao estruturar dicionários de privacidade, modelos explicáveis e processos que reforçam responsabilidade na detecção de requisitos, destacando a necessidade de reduzir riscos de privacidade desde o início e apoiar conformidade com normas como GDPR e legislações relacionadas.</t>
  </si>
  <si>
    <t>O estudo aborda a governança focando na necessidade de embutir "requisitos legais e sociais" de proteção de dados no software, utilizando dicionários de privacidade para identificar divulgações sensíveis. Embora focado na técnica, o trabalho referencia a conformidade com regulamentações como o GDPR (citado na literatura relacionada) para prevenir vazamentos de privacidade e garantir a proteção de dados.</t>
  </si>
  <si>
    <t xml:space="preserve">Os estudos tratam governança e ética ao enfatizar a necessidade de modelos transparentes, reprodutíveis e alinhados a normas de proteção de dados, mesmo não citando diretamente LGPD ou GDPR. A abordagem reforça práticas de prestação de contas, uso responsável de dados e mecanismos que reduzam riscos de privacidade durante o desenvolvimento ágil, fortalecendo a conformidade regulatória. </t>
  </si>
  <si>
    <t>https://www.scopus.com/pages/publications/85105589021?origin=resultslist</t>
  </si>
  <si>
    <t>Aberkane, Abdel-Jaouad,Poels, Geert,Broucke, Seppe Vanden</t>
  </si>
  <si>
    <t>A IA é aplicada principalmente por meio de técnicas de NLP para automatizar tarefas de Engenharia de Requisitos, como análise de documentos, identificação de requisitos e apoio à interpretação do GDPR, trazendo benefícios como redução de esforço, padronização e apoio à conformidade. Os desafios incluem lidar com linguagem legal complexa, escassez de métodos automatizados e necessidade de estruturas de governança adequadas.</t>
  </si>
  <si>
    <t>A Inteligência Artificial, especificamente o Processamento de Linguagem Natural (NLP), é aplicada para automatizar a conformidade com o GDPR durante a engenharia de requisitos (RE), facilitando a identificação de dados pessoais e requisitos de privacidade. O principal benefício é a eficiência na garantia de "privacidade desde o design", enquanto os desafios incluem a escassez de estudos na interseção entre GDPR, NLP e RE, exigindo governança robusta sobre o uso dessas ferramentas automatizadas.</t>
  </si>
  <si>
    <t>A IA, sobretudo via técnicas de NLP, tem sido aplicada para automatizar tarefas de Engenharia de Requisitos relacionadas à conformidade, como análise de documentos, identificação de requisitos de privacidade e verificação de aderência ao GDPR. Esses métodos reduzem esforço manual e ampliam a precisão, mas enfrentam desafios ligados à complexidade jurídica, interpretação do texto regulatório e escassez de soluções realmente automatizadas. A governança emerge como necessidade de processos claros, rastreabilidade e integração dos princípios do GDPR desde as fases iniciais do desenvolvimento.</t>
  </si>
  <si>
    <t>As técnicas mais empregadas incluem pré-processamento de texto, tokenização, part-of-speech tagging, classificação de texto, extração de entidades, TF-IDF, modelos supervisionados e técnicas de similaridade semântica, usadas para apoiar elicitação, análise e verificação de requisitos ligados ao GDPR.</t>
  </si>
  <si>
    <t>As técnicas de IA mais empregadas são o Processamento de Linguagem Natural (NLP) para classificação de texto e extração de informações de documentos legais e requisitos de software. O estudo destaca o uso de aprendizado de máquina (Machine Learning) para automatizar tarefas manuais de RE, como a identificação e anonimização de dados pessoais, além de técnicas de pré-processamento de texto.</t>
  </si>
  <si>
    <t xml:space="preserve">As técnicas mais utilizadas incluem pré-processamento textual, POS-tagging, classificação de textos, extração de entidades, TF-IDF, tokenização e modelos de aprendizado supervisionado aplicados à detecção de requisitos, identificação de dados pessoais e suporte à modelagem de compliance. Também aparecem abordagens baseadas em aprendizado de máquina para anonimização e sistemas de recomendação de requisitos de privacidade. </t>
  </si>
  <si>
    <t>Os principais benefícios apontados são maior precisão na análise de requisitos, automação de tarefas repetitivas, redução de custos e suporte para detectar violações de conformidade. Entre os desafios estão o viés algorítmico, dificuldade de interpretar modelos, limitação na detecção automática de conceitos jurídicos complexos e preocupações com privacidade ao processar textos contendo dados pessoais.</t>
  </si>
  <si>
    <t>Os benefícios incluem a redução de custos e do erro humano na verificação de conformidade, permitindo que organizações atendam aos princípios de proteção de dados de forma mais ágil e eficaz. Os desafios citados envolvem a complexidade da linguagem legal do GDPR, a necessidade de interpretação precisa dos requisitos de privacidade e a falta de ferramentas maduras específicas para essa interseção disciplinar.</t>
  </si>
  <si>
    <t>A literatura destaca benefícios como maior precisão na análise de requisitos, economia de tempo em tarefas repetitivas e suporte mais ágil para detectar não conformidades. Por outro lado, surgem desafios relacionados ao viés algorítmico, limitação na interpretação semântica de textos legais, dificuldades de generalização dos modelos e riscos de privacidade ao manipular documentos contendo dados sensíveis.</t>
  </si>
  <si>
    <t>Os estudos tratam governança e ética destacando a necessidade de transparência, responsabilização e aderência aos princípios do GDPR, como legalidade, minimização, consentimento e integridade/confidencialidade. Métodos e frameworks propõem modelagem explícita de requisitos de privacidade, rastreabilidade e mecanismos para demonstrar conformidade durante o desenvolvimento.</t>
  </si>
  <si>
    <t>Os estudos abordam a governança enfatizando a necessidade de "proteção de dados desde a concepção e por padrão" (Artigo 25 do GDPR) como um requisito de alto nível. A ética é tratada implicitamente através da exigência de conformidade com princípios como legalidade, justiça e transparência, onde a automação deve garantir a responsabilidade (accountability) das organizações no processamento de dados pessoais.</t>
  </si>
  <si>
    <t xml:space="preserve">Os estudos tratam governança e ética enfatizando a necessidade de transparência nos processos automatizados, rastreabilidade das decisões e mecanismos que garantam accountability durante o ciclo de vida do sistema. Também reforçam a importância de alinhar requisitos aos princípios centrais do GDPR — como minimização, consentimento, integridade e confidencialidade — garantindo que a IA apoie a conformidade sem comprometer direitos dos titulares. </t>
  </si>
  <si>
    <t>Enhancing privacy policy comprehension through Privacify: A user-centric approach using advanced language models</t>
  </si>
  <si>
    <t>https://doi.org/10.1016/j.cose.2024.103997</t>
  </si>
  <si>
    <t>Justin Woodring, Katherine Perez, AishaAli-Gombe</t>
  </si>
  <si>
    <t>A IA é aplicada para segmentar, resumir e analisar políticas de privacidade por meio de LLMs, permitindo identificar escopos de coleta, inconsistências e aderência a regulações como GDPR, HIPAA, FERPA e COPPA. Os principais benefícios incluem melhor compreensão, rapidez e escalabilidade; desafios envolvem limitações de contexto, riscos de erros de interpretação e necessidade de explicabilidade; e a governança é tratada via transparência, verificabilidade e arquitetura modular.</t>
  </si>
  <si>
    <t>O estudo apresenta o Privacify, uma aplicação baseada em Grandes Modelos de Linguagem (LLMs) que automatiza a análise e o resumo de políticas de privacidade, verificando a conformidade com normas como GDPR e COPPA. A governança foca na proteção de dados do usuário e na transparência, enquanto os desafios incluem a complexidade jurídica dos textos e a necessidade de mitigar alucinações geradas pelos modelos de IA.</t>
  </si>
  <si>
    <t>A IA tem sido aplicada sobretudo para analisar, segmentar e resumir políticas de privacidade, permitindo automatizar verificações de conformidade e identificar escopos, inconsistências e possíveis violações. Os benefícios incluem maior precisão, escalabilidade e redução do esforço humano, enquanto os desafios envolvem limitações de contexto dos modelos, riscos de erros ou generalizações e necessidade de explicabilidade. As estruturas de governança destacadas focam transparência, verificabilidade e aderência a regulamentos como GDPR, HIPAA, COPPA e FERPA.</t>
  </si>
  <si>
    <t>O sistema utiliza NLP, modelos de linguagem (LLMs, especialmente Mistral 7B), tokenização, chunking, sumarização iterativa, map-reduce e extração de features estruturadas. Há também uso de prompt chaining, classificação textual, análise semântica e verificações automatizadas de conformidade com bases regulatórias.</t>
  </si>
  <si>
    <t>As técnicas principais envolvem o uso de LLMs (especificamente o modelo Mistral 7B Instruct) combinados com Prompt Engineering e encadeamento de prompts (prompt chaining) para segmentar, resumir e extrair características de textos legais. O sistema também utiliza uma estratégia de Map-Reduce para lidar com limitações de contexto dos modelos e processar documentos longos de forma iterativa.</t>
  </si>
  <si>
    <t xml:space="preserve">As técnicas mais utilizadas incluem Processamento de Linguagem Natural (tokenização, chunking e análise semântica), sumarização com LLMs como Mistral 7B, estratégias de map-reduce e cadeias de prompts para extração de escopos e inconsistências. Também são empregados métodos de classificação, comparação entre documentos e mecanismos automatizados de checagem contra bases regulatórias. </t>
  </si>
  <si>
    <t>Os benefícios incluem maior precisão, rapidez na análise de documentos extensos, padronização, redução de esforço humano e acessibilidade para usuários não técnicos. Os desafios envolvem risco de alucinações, falsas inferências, viés algorítmico, limitações de contexto, dificuldades de interpretabilidade e dependência de modelos de terceiros ou dados ruidosos extraídos via scraping.</t>
  </si>
  <si>
    <t>Os benefícios centrais são a simplificação de termos jurídicos complexos, economia de tempo para os usuários e detecção automatizada de inconsistências legais, promovendo o consentimento informado. Os desafios críticos incluem o risco de alucinação dos modelos generativos, a dependência de web scraping que pode capturar conteúdo irrelevante e a necessidade de garantir a explicabilidade das decisões da IA.</t>
  </si>
  <si>
    <t xml:space="preserve">Os benefícios mais mencionados incluem acelerar a leitura de documentos extensos, aumentar a precisão na detecção de categorias de dados coletados, melhorar a usabilidade e reduzir o esforço manual. Entre os desafios, destacam-se riscos de alucinações, falsos positivos/negativos, dependência de modelos com limitações de contexto, vieses e dificuldades de interpretar decisões automatizadas. Questões de privacidade e confiabilidade no scraping e no processamento também se tornam centrais. </t>
  </si>
  <si>
    <t>Os estudos destacam a importância de transparência, explicabilidade e rastreabilidade nas decisões geradas pelo modelo, permitindo ao usuário verificar a origem dos resumos e escopos identificados. O sistema incorpora checagens contra normas como GDPR, HIPAA, FERPA e COPPA, reforçando prestação de contas, clareza dos processos e mitigação de riscos éticos associados ao processamento automatizado de dados sensíveis.</t>
  </si>
  <si>
    <t>O estudo aborda a governança e a ética através de um design centrado no usuário que prioriza a explicabilidade (Explainable Design), permitindo verificar a lógica por trás dos resumos gerados. A conformidade com regulamentações como GDPR e HIPAA é integrada diretamente na análise, e o sistema é projetado para identificar lacunas na proteção de dados, como a falta de um DPO (Data Protection Officer).</t>
  </si>
  <si>
    <t xml:space="preserve">Os estudos enfatizam a importância de sistemas explicáveis, capazes de mostrar ao usuário como os resumos foram produzidos e de onde cada item foi inferido, fortalecendo a transparência e a prestação de contas. A governança é tratada por meio de análises específicas de conformidade com GDPR, HIPAA, FERPA e COPPA, reforçando padrões de segurança, clareza e respeito aos direitos do titular. Há uma preocupação constante em mitigar riscos éticos, evitar interpretações equivocadas e garantir consistência com regulações de proteção de dados. </t>
  </si>
  <si>
    <t>Reino Unido</t>
  </si>
  <si>
    <t>Ethics of Public Use of AI and Big Data: The Case of Amsterdam’s Crowdedness Project</t>
  </si>
  <si>
    <t>https://doi.org/10.29297/orbit.v2i1.101</t>
  </si>
  <si>
    <t>Ryan Mark</t>
  </si>
  <si>
    <t>O artigo mostra que governos utilizam IA e Big Data para automatizar análises, prever padrões urbanos e apoiar decisões administrativas, trazendo benefícios como eficiência, redução de custos e melhor gestão urbana. Os principais desafios são vieses de dados, incertezas algorítmicas, riscos à privacidade, desigualdades de acesso e dependência tecnológica. A governança envolve práticas como privacy-by-design, monitoramento contínuo, acordos de compartilhamento de dados e avaliação ética estruturada.</t>
  </si>
  <si>
    <t>A IA e o Big Data (Sistemas de Informação Inteligentes - SIS) são aplicados no projeto DrukteRadar para gerenciar a mobilidade urbana, prever superlotação e melhorar a alocação de recursos municipais. A governança foca na soberania dos dados para evitar dependência tecnológica (lock-in) de empresas privadas e mitigar riscos de viés algorítmico e privacidade.</t>
  </si>
  <si>
    <t xml:space="preserve">A IA é aplicada sobretudo na análise massiva de dados urbanos para automatizar monitoramentos, prever padrões e apoiar decisões governamentais, melhorando eficiência e reduzindo custos. Os principais desafios envolvem vieses algorítmicos, erros de dados, riscos de privacidade e dependência tecnológica. A governança é estruturada por práticas como privacy-by-design, segurança robusta, auditorias, acordos de compartilhamento e mecanismos de supervisão contínua. </t>
  </si>
  <si>
    <t>O texto evidencia o uso de machine learning para identificar padrões fracos nos dados, integração de múltiplas bases de Big Data, sensores inteligentes e sistemas de previsão baseados em análise comportamental urbana. Embora não cite PLN diretamente, destaca o uso de análises automatizadas, sensores, redes neurais em aplicações similares (como ShotSpotter) e modelos preditivos para ambientes urbanos.</t>
  </si>
  <si>
    <t>As técnicas empregadas incluem Big Data e Inteligência Artificial para analisar fluxos complexos e Machine Learning (aprendizado de máquina) para identificar padrões em conjuntos de dados. O projeto utiliza especificamente métodos de aprendizado de máquina para encontrar "padrões fracos", evitando modelos complexos que poderiam resultar em overfitting dos dados.</t>
  </si>
  <si>
    <t xml:space="preserve">O artigo destaca o uso de machine learning para identificar padrões e alimentar modelos preditivos, além da integração de grandes volumes de dados provenientes de sensores, transporte, telecom e plataformas digitais. Também menciona aplicações de redes neurais e sistemas inteligentes em contextos governamentais correlatos, como detecção acústica de eventos e análise comportamental urbana. </t>
  </si>
  <si>
    <t>Os benefícios citados incluem eficiência operacional, redução de custos, melhor tomada de decisão, agilidade na resposta a problemas urbanos e melhoria da qualidade de vida. Os principais desafios incluem viés algorítmico, dados imprecisos, risco de discriminação, problemas de representatividade, falta de transparência, riscos de privacidade, vigilância excessiva e vulnerabilidade a ataques cibernéticos.</t>
  </si>
  <si>
    <t>Os benefícios incluem melhoria na mobilidade, crescimento econômico, respostas rápidas a desastres e redução de custos operacionais para o governo. Os desafios citados envolvem a imprecisão de dados que leva a viés discriminatório, riscos de segurança cibernética e a infração da privacidade devido à vigilância ubíqua e análise instantânea.</t>
  </si>
  <si>
    <t>Entre os benefícios estão maior eficiência administrativa, redução de custos, respostas mais rápidas e decisões mais precisas baseadas em dados. Os desafios mais citados incluem imprecisão e inconsistência dos dados, vieses que podem gerar discriminação, riscos à privacidade, vigilância excessiva e vulnerabilidade a ataques. Esses problemas podem comprometer a legitimidade e a equidade das decisões automatizadas.</t>
  </si>
  <si>
    <t>O estudo destaca governança baseada em privacy-by-design, anonimização, agregação mínima de dados (mínimo de 15 pessoas), auditoria contínua, monitoramento dos algoritmos e revisão por stakeholders. Adicionalmente, reforça a importância da soberania dos dados, transparência nos critérios de coleta e uso, contratos formais com fornecedores e aderência estrita ao GDPR, garantindo segurança, prevenção de vieses e prestação de contas.</t>
  </si>
  <si>
    <t>Os estudos abordam a governança exigindo conformidade com o GDPR e a aplicação de princípios de privacy-by-design, garantindo que os dados não sejam rastreáveis individualmente (agregação mínima de 15 pessoas). A ética é tratada através da soberania de dados, transparência para evitar manipulação ("nudging") e responsabilidade para minimizar imprecisões algorítmicas</t>
  </si>
  <si>
    <t xml:space="preserve">Os estudos ressaltam governança baseada em transparência, minimização de dados, anonimização e uso de informações agregadas, garantindo aderência a princípios como os do GDPR. Há ênfase em privacy-by-design, responsabilidade institucional, acordos formais com parceiros e processos de validação ética que asseguram prestação de contas, segurança e respeito à privacidade dos cidadãos. </t>
  </si>
  <si>
    <t>Sri Lanka</t>
  </si>
  <si>
    <t>Real-time privacy vulnerability detection techniques in software development: A Systematic Literature Review</t>
  </si>
  <si>
    <t>https://doi.org/10.1016/j.cose.2025.104659</t>
  </si>
  <si>
    <t xml:space="preserve">Nadisha Madhushanie, Sugandima Vidanagamachchi, Nalin Arachchilage, </t>
  </si>
  <si>
    <t>A IA é aplicada principalmente por meio de técnicas de machine learning e deep learning para detectar vulnerabilidades de privacidade em tempo real, analisando código, tráfego e padrões de comportamento. Os benefícios incluem maior precisão e detecção precoce; os desafios envolvem escalabilidade, alto custo computacional e falsos positivos; e a governança aparece ligada a frameworks como Privacy-by-Design e práticas alinhadas ao GDPR.</t>
  </si>
  <si>
    <t>O estudo propõe o uso de técnicas de IA, como análise estática/dinâmica e aprendizado de máquina, para detectar vulnerabilidades de privacidade em tempo real durante o desenvolvimento de software. A governança integra princípios de Privacy-by-Design (PbD) e conformidade com GDPR/CCPA diretamente no ciclo de vida do software, mitigando riscos de violação de dados e garantindo a proteção desde a concepção.</t>
  </si>
  <si>
    <t>A IA tem sido aplicada principalmente por meio de modelos de machine learning e técnicas de análise estática e dinâmica para automatizar a identificação de riscos de privacidade, fortalecendo a conformidade ao detectar violações antes da implantação. Esses métodos trazem ganhos de precisão e resposta mais rápida, mas enfrentam desafios como escalabilidade, falsos positivos e integração a ambientes complexos. A governança aparece alinhada a princípios como Privacy-by-Design e ao cumprimento de normas como GDPR e CCPA.</t>
  </si>
  <si>
    <t>As técnicas mais usadas incluem modelos de ML para classificação de tráfego e padrões de vulnerabilidade, CNNs aplicadas a grafos de dependência de código (como no VulCNN), RNNs/LSTM para analisar sequências de execução e abordagens híbridas que combinam análise estática, dinâmica e aprendizado de máquina.</t>
  </si>
  <si>
    <t>As técnicas mais empregadas incluem análise estática (inspeção de código), análise dinâmica (monitoramento em tempo de execução), e abordagens híbridas que combinam ambas. O uso de aprendizado de máquina (Machine Learning) e Deep Learning (como redes neurais convolucionais e LSTM) é destacado para detecção de anomalias e classificação de vulnerabilidades em grandes bases de código e tráfego de rede.</t>
  </si>
  <si>
    <t>As técnicas mais utilizadas incluem aprendizado de máquina para classificar comportamentos anômalos, redes neurais (como CNNs e LSTMs) para analisar padrões de execução e estruturas de código, além de abordagens híbridas que unem análise estática, dinâmica e taint analysis para rastrear fluxos de dados sensíveis. Ferramentas baseadas em regras e frameworks como LINDDUN complementam essa automação.</t>
  </si>
  <si>
    <t>Os benefícios citados são aumento da precisão, detecção rápida, redução de erros humanos e suporte ao desenvolvedor durante o desenvolvimento. Os desafios incluem viés em modelos, dificuldade de interpretabilidade, altos índices de falsos positivos, limitações de desempenho em ambientes distribuídos e obstáculos de integração com pipelines modernos.</t>
  </si>
  <si>
    <t>Os principais benefícios são a redução de vulnerabilidades em estágios iniciais (o que diminui custos de correção), maior conformidade regulatória e aumento da confiança do usuário. Os desafios críticos citados incluem altas taxas de falsos positivos em ferramentas de análise, problemas de escalabilidade em sistemas distribuídos (como IoT e nuvem) e a dificuldade de integração perfeita com pipelines de CI/CD.</t>
  </si>
  <si>
    <t>Os benefícios mais citados são o aumento da precisão na detecção de violações, redução do esforço manual, agilidade na resposta e melhoria da qualidade dos sistemas. Já os desafios envolvem viés e falta de explicabilidade dos modelos, alta taxa de falsos positivos, limitações em dispositivos com poucos recursos e dificuldades em manter desempenho e escalabilidade.</t>
  </si>
  <si>
    <t>O artigo aborda governança e ética principalmente via Privacy-by-Design, LINDDUN e alinhamento com regulamentos como GDPR e CCPA, enfatizando transparência, minimização de dados, rastreamento de fluxos sensíveis e necessidade de ferramentas que apoiem prestação de contas e conformidade desde o início do ciclo de desenvolvimento.</t>
  </si>
  <si>
    <t>A governança é abordada através da exigência de conformidade com regulamentações globais como GDPR e CCPA, e da implementação de estruturas de Privacy-by-Design que incorporam salvaguardas de privacidade (como minimização de dados e criptografia) na arquitetura do sistema. A ética e a transparência são reforçadas pela necessidade de ferramentas de IA explicável (Explainable AI) para que desenvolvedores confiem e compreendam as detecções automatizadas.</t>
  </si>
  <si>
    <t>Os estudos tratam governança e ética reforçando a necessidade de transparência nos fluxos de dados, adoção de modelos explicáveis e integração de princípios como minimização, consentimento e rastreabilidade. Frameworks como Privacy-by-Design e LINDDUN são destacados como formas de alinhar o desenvolvimento às exigências do GDPR e CCPA, fortalecendo a prestação de contas e a prevenção de violações desde a fase de projeto.</t>
  </si>
  <si>
    <t>Ethics of Using AI and Big Data in Agriculture: The Case of a Large Agriculture Multinational</t>
  </si>
  <si>
    <t>https://doi.org/10.29297/orbit.v2i2.109</t>
  </si>
  <si>
    <t>A IA é aplicada no contexto agrícola principalmente para análise de grandes volumes de dados, detecção precoce de doenças, previsões climáticas e recomendações prescritivas, integrando sensores, imagens e dados ambientais. Os benefícios citados incluem maior precisão, eficiência operacional e tomada de decisão mais informada, enquanto os desafios envolvem qualidade dos dados, falhas de algoritmos, responsabilidade por decisões automatizadas e riscos éticos como privacidade e segurança. Também emergem estruturas de governança relacionadas à proteção de dados, sustentabilidade e transparência no uso de recomendações e modelos.</t>
  </si>
  <si>
    <t>A IA e o Big Data (SIS) são aplicados na agricultura para automatizar o gerenciamento agrícola, prever o clima local e detectar doenças, exigindo governança sobre a propriedade de dados para evitar "lock-in" tecnológico e garantir a soberania do agricultor . Os benefícios incluem redução de custos e melhores decisões, enquanto os desafios envolvem a precisão dos dados, exclusão digital e o risco de uso nefasto por governos corruptos ou concorrentes .</t>
  </si>
  <si>
    <t xml:space="preserve">A IA é aplicada para automatizar análises de grandes volumes de dados agrícolas, gerar previsões, detectar doenças e recomendar ações, funcionando como um sistema de apoio à decisão que melhora eficiência e precisão. Os benefícios citados incluem redução de custos, maior rapidez e decisões mais fundamentadas, enquanto os desafios envolvem dados incompletos, modelos falhos e riscos éticos ligados à privacidade e uso indevido das informações. A governança aparece na forma de políticas de segurança, controles de acesso, transparência no uso dos dados e mecanismos de responsabilidade compartilhada entre empresa e agricultores. </t>
  </si>
  <si>
    <t>O artigo destaca o uso de machine learning, especialmente algoritmos de reconhecimento de imagem treinados com grandes repositórios de fotos de plantas, além de modelos prescritivos baseados em dados climáticos e agronômicos. Também são utilizados sistemas de Big Data (como Hadoop e SAP HANA) e técnicas de previsão que combinam dados de sensores, clima e imagens de campo.</t>
  </si>
  <si>
    <t>As técnicas empregadas incluem o uso de algoritmos de aprendizado de máquina para analisar dados meteorológicos e detectar ameaças às colheitas, além de software de reconhecimento de imagem para identificar doenças em plantas a partir de fotos enviadas pelos agricultores . O estudo também menciona o uso de ferramentas de Big Data como Hadoop Stack e sistemas baseados em nuvem para processar grandes volumes de dados agrícolas .</t>
  </si>
  <si>
    <t xml:space="preserve">As técnicas mais usadas incluem algoritmos de aprendizado de máquina para reconhecimento de padrões e previsão, especialmente modelos de visão computacional capazes de identificar doenças em plantas a partir de imagens. Também são empregados sistemas de Big Data (como Hadoop e SAP HANA) para integrar dados ambientais e agronômicos, além de modelos prescritivos que transformam análises em recomendações automáticas para os usuários. </t>
  </si>
  <si>
    <t>Os principais benefícios incluem aumento de eficiência, redução de custos com consultoria agronômica, melhor qualidade das previsões, sustentabilidade e apoio à tomada de decisão do agricultor. Os desafios mencionados envolvem viés e imprecisão dos dados, limitações técnicas dos algoritmos, riscos para a privacidade, insegurança de dados, dependência tecnológica e possibilidade de desigualdade entre grandes e pequenos produtores (digital divide).</t>
  </si>
  <si>
    <t>Os benefícios incluem previsões de colheita rápidas, redução de custos com agrônomos e aumento da eficiência produtiva para alimentar uma população crescente . Os desafios citados abrangem a imprecisão de dados que pode levar à perda de colheitas, ameaças à segurança e privacidade dos dados, e o risco de viés algorítmico devido a variações regionais não contabilizadas .</t>
  </si>
  <si>
    <t xml:space="preserve">Os benefícios mais destacados são a redução de custos com consultoria humana, maior precisão em diagnósticos e previsões, eficiência no manejo agrícola e apoio mais ágil na tomada de decisões. Entre os desafios, aparecem a dependência da qualidade dos dados, riscos de vieses, limitações de interpretabilidade dos algoritmos, vulnerabilidades de segurança e preocupações com privacidade e desigualdade tecnológica entre pequenos e grandes produtores. </t>
  </si>
  <si>
    <t>O artigo aborda governança e ética enfatizando transparência, proteção de dados pessoais, controle do agricultor sobre suas informações, responsabilidade por erros de IA e necessidade de alinhamento com regulamentos de privacidade. A empresa estudada reforça princípios como segurança, sustentabilidade, uso responsável de dados e respeito ao proprietário dos dados — práticas compatíveis com exigências de legislações como GDPR/LGPD, embora não citadas diretamente no texto.</t>
  </si>
  <si>
    <t>O estudo aborda a governança enfatizando que o agricultor deve manter a propriedade dos dados e a capacidade de migrá-los, combatendo o "lock-in" tecnológico e garantindo conformidade com princípios de privacidade by-design . A ética é tratada através da transparência sobre o uso de dados, garantindo que a IA complemente (e não substitua) o trabalho humano e promovendo a sustentabilidade baseada em estruturas como a Pegada Ambiental do Produto (PEF) .</t>
  </si>
  <si>
    <t xml:space="preserve">Os estudos tratam governança e ética enfatizando transparência no uso dos dados, responsabilidade sobre decisões automatizadas e forte proteção de privacidade por meio de criptografia e auditorias externas. A propriedade dos dados permanece com o agricultor, reforçando práticas alinhadas a princípios de regulações como GDPR/LGPD, ainda que não citadas nominalmente, destacando a necessidade de consentimento, segurança e clareza sobre como as recomendações são geradas. </t>
  </si>
  <si>
    <t>ASAP 2.0: Autonomous &amp; proactive detection of malicious applications for privacy quantification in 6G network services</t>
  </si>
  <si>
    <t>https://doi.org/10.1016/j.comcom.2025.108145</t>
  </si>
  <si>
    <t xml:space="preserve">Catarina Silva, João Felisberto, João Paulo Barraca, Paulo Salvador, </t>
  </si>
  <si>
    <t>A IA é aplicada na detecção autônoma de aplicações que possam violar privacidade, analisando permissões e riscos por meio de modelos como autoencoders para quantificar privacidade no ciclo DevPrivOps. Os benefícios incluem automação, monitoramento contínuo e maior proteção, enquanto os desafios envolvem complexidade, necessidade de dados categorizados e limitação de granularidade; a governança emerge via PMF, políticas de privacidade e integração com SDLC.</t>
  </si>
  <si>
    <t>O estudo apresenta o ASAP 2.0, uma ferramenta autônoma baseada em aprendizado de máquina não supervisionado para detectar aplicações maliciosas que violam a privacidade, integrando-se à metodologia DevPrivOps para quantificação de riscos antes da implantação em redes 6G. A governança foca na conformidade contínua e na priorização da privacidade desde o design (shift-left strategy), garantindo que apenas aplicações com níveis de privacidade adequados sejam aceitas nos serviços de rede.</t>
  </si>
  <si>
    <t xml:space="preserve">A IA tem sido usada para automatizar a análise de privacidade e conformidade, principalmente por meio de modelos de machine learning que detectam aplicações potencialmente nocivas ao examinar permissões, categorias e riscos. Isso permite decisões mais rápidas e precisas, reforçando práticas de DevPrivOps; porém, desafios como complexidade, falta de padronização e limitações de granularidade persistem. A governança se estrutura via manifestos de privacidade, políticas formais e integração contínua no SDLC. </t>
  </si>
  <si>
    <t>O artigo destaca principalmente o uso de aprendizado de máquina e deep learning, especialmente autoencoders (AE, VAE, SAE) para detecção de anomalias e avaliação de risco; não há foco específico em NLP, mas sim em técnicas de reconstrução e análise de permissões baseadas em ML.</t>
  </si>
  <si>
    <t>A técnica central é o uso de Autoencoders Esparsos (SAE) treinados de forma não supervisionada para reconstruir permissões de aplicativos e identificar anomalias (aplicativos maliciosos) com base no erro de reconstrução. O modelo utiliza um limiar dinâmico calculado pelo algoritmo ISODATA para classificação binária, superando métodos tradicionais como Regressão Logística e Árvores de Decisão.</t>
  </si>
  <si>
    <t>As técnicas mais utilizadas são modelos de aprendizado de máquina, especialmente autoencoders (AE, VAE e SAE) aplicados como detectores de anomalias para avaliar riscos e comportamentos suspeitos. O foco não está em NLP, mas em reconstrução e classificação de padrões de permissões, reforçando a automação de conformidade dentro do ciclo DevPrivOps.</t>
  </si>
  <si>
    <t>Os principais benefícios incluem maior precisão, detecção autônoma, monitoramento contínuo, suporte à privacidade por design e redução de riscos. Os desafios citados envolvem viés algorítmico, necessidade de dados desbalanceados, interpretabilidade limitada, dependência de permissões e dificuldade de padronização de métricas de privacidade.</t>
  </si>
  <si>
    <t>Os benefícios incluem a detecção proativa de aplicações prejudiciais à privacidade antes de sua implantação, melhorando a segurança das redes 6G e fornecendo métricas quantificáveis para desenvolvedores e usuários. Os desafios citados envolvem a necessidade de desequilíbrio de classes no treinamento (mais aplicativos benignos que maliciosos) para que a detecção de anomalias funcione, além da limitação de análise baseada apenas em permissões declaradas.</t>
  </si>
  <si>
    <t>Os benefícios citados incluem maior precisão na detecção de riscos, automação contínua, capacidade de monitoramento proativo e redução de falhas humanas. Entre os desafios, destacam-se viés, dificuldade de interpretação, dependência de dados desbalanceados e limitações de modelos que se baseiam apenas em permissões. A literatura também aponta falta de padronização e risco de falsos negativos.</t>
  </si>
  <si>
    <t>Os estudos abordam governança por meio de políticas de privacidade integradas ao DevPrivOps, uso do Privacy Manifest File (PMF), categorização de dados (PsDC) e avaliação contínua para garantir transparência e responsabilização. O artigo destaca alinhamento com frameworks como LGPD e GDPR ao estruturar análise de riscos, controle de permissões e monitoramento do ciclo de vida das aplicações.</t>
  </si>
  <si>
    <t>A governança é abordada através da criação de um "Manifesto de Privacidade" (PMF - Privacy Manifest File) que descreve características de dados e riscos, facilitando a conformidade automatizada e a transparência no onboarding de aplicações. A ética é considerada ao focar na detecção de violações de privacidade "legalizadas" (coleta excessiva de dados) em vez de apenas malware criminoso, promovendo uma abordagem centrada no usuário e na explicabilidade das decisões de IA.</t>
  </si>
  <si>
    <t xml:space="preserve">A governança e a ética são tratadas por meio de mecanismos como o Privacy Manifest File, categorização de dados sensíveis (PsDC) e políticas que garantem transparência e responsabilização no ciclo DevPrivOps. Há preocupação em alinhar decisões automatizadas às exigências de regulações como GDPR e LGPD, reforçando monitoramento contínuo, documentação e clareza sobre riscos de privacidade. </t>
  </si>
  <si>
    <t>https://doi.org/10.1016/j.infsof.2022.106853</t>
  </si>
  <si>
    <t xml:space="preserve">Francesco Casillo, Vincenzo Deufemia, Carmine Gravino, </t>
  </si>
  <si>
    <t>O artigo aplica IA por meio de NLP e deep learning (CNN com Transfer Learning) para automatizar a detecção de requisitos de privacidade em User Stories, reduzindo riscos e apoiando conformidade desde as fases iniciais do desenvolvimento ágil. Os benefícios citados incluem maior precisão, automatização e apoio a equipes sem expertise em privacidade; os desafios envolvem escassez de dados, ruído textual e dificuldades no treinamento de modelos. Questões de governança aparecem indiretamente na necessidade de tratar dados pessoais de forma adequada e apoiar decisões alinhadas a regulamentações de proteção de dados</t>
  </si>
  <si>
    <t>Aplicação de IA na conformidade regulatória: O estudo aplica Deep Learning (CNN) e Transfer Learning combinados com NLP para detectar automaticamente requisitos de privacidade e proteção de dados em User Stories durante o desenvolvimento ágil de software. A integração visa mitigar riscos de privacidade desde o início do design, auxiliando desenvolvedores que não possuem expertise legal a identificar requisitos não funcionais críticos de proteção de dados.</t>
  </si>
  <si>
    <t xml:space="preserve">A IA é aplicada sobretudo por meio de NLP e deep learning para identificar automaticamente informações sensíveis e potenciais requisitos de privacidade em textos de requisitos, reduzindo riscos e apoiando conformidade desde fases iniciais do desenvolvimento. Os benefícios incluem maior precisão, apoio a equipes com pouca expertise e detecção precoce de problemas; já os desafios envolvem escassez de dados, ruído textual e dificuldade de generalização. A governança aparece como necessidade de antecipar questões de proteção de dados e tratar requisitos de privacidade de forma sistemática, alinhando o processo de engenharia às obrigações regulatórias </t>
  </si>
  <si>
    <t>O estudo usa Processamento de Linguagem Natural (tokenização, POS-tagging, NER, dependências sintáticas) combinado com deep learning, especialmente redes convolucionais (CNN) e Transfer Learning a partir de modelos treinados previamente em detecção de privacidade. Também utiliza abordagens lexicon-based com dicionários de privacidade</t>
  </si>
  <si>
    <t>Técnicas de IA empregadas: A pesquisa utiliza principalmente Processamento de Linguagem Natural (incluindo tokenização, POS tagging, reconhecimento de entidades e análise de dependências) e Redes Neurais Convolucionais (CNN). Destaca-se o uso de Transfer Learning, reutilizando uma rede pré-treinada em textos de privacidade para melhorar a classificação de requisitos em User Stories.</t>
  </si>
  <si>
    <t xml:space="preserve">As técnicas mais recorrentes são métodos de Processamento de Linguagem Natural — como tokenização, análise sintática, identificação de entidades e uso de dicionários especializados — combinadas com modelos de aprendizado profundo, especialmente redes convolucionais e estratégias de Transfer Learning. Essas abordagens permitem extrair contexto semântico e estrutural, ampliando a capacidade de reconhecer termos e padrões relevantes à conformidade </t>
  </si>
  <si>
    <t>Entre os benefícios estão maior precisão na classificação, melhoria de até 10% com Transfer Learning, automação na identificação de requisitos de privacidade e suporte a desenvolvedores com pouca experiência no tema. Os desafios incluem limitações de datasets pequenos, risco de baixa capacidade de generalização, variação no desempenho entre técnicas e dependência da qualidade dos textos e dicionários de privacidade utilizados</t>
  </si>
  <si>
    <t>Benefícios e desafios: Os benefícios citados incluem o aumento da precisão na detecção de requisitos (melhoria de 10% com Transfer Learning) e a redução do esforço e custo para identificar necessidades de privacidade por não especialistas. Os desafios envolvem a escassez de datasets rotulados de User Stories para treinamento e a dificuldade dos stakeholders em definir explicitamente aspectos de privacidade.</t>
  </si>
  <si>
    <t xml:space="preserve">Os estudos destacam ganhos como maior precisão na detecção de requisitos sensíveis, automatização de análises que antes dependiam de especialistas e aumento da eficiência, com melhora superior a 10% quando há Transfer Learning. Entre os desafios aparecem a limitação de dados rotulados, o comportamento inconsistente de alguns modelos, dificuldades de interpretar decisões e a dependência da qualidade dos textos e taxonomias usadas para treinar os algoritmos </t>
  </si>
  <si>
    <t>Embora o estudo não discuta diretamente LGPD ou GDPR, ele aborda a importância de identificar precocemente requisitos de privacidade — aspecto central da governança ética — para reduzir riscos de violações e apoiar conformidade regulatória. O artigo destaca que stakeholders frequentemente negligenciam requisitos de privacidade e que ferramentas automatizadas podem melhorar responsabilidade, transparência e aderência a boas práticas de proteção de dados durante a engenharia de requisitos</t>
  </si>
  <si>
    <t>Governança e ética: O estudo aborda a governança sob a ótica da necessidade de sistemas "conscientes da privacidade" (privacy-aware), garantindo que exigências legais e sociais de proteção de dados sejam incorporadas no design arquitetural. O foco é técnico na detecção de riscos de vazamento de privacidade para apoiar a conformidade, sem citar explicitamente a LGPD ou GDPR, mas enfatizando a proteção de dados como um requisito de negócio essencial.</t>
  </si>
  <si>
    <t xml:space="preserve">Embora o artigo não trate explicitamente de LGPD ou GDPR, ele reforça a importância de mecanismos de governança que assegurem a identificação precoce de requisitos de privacidade, reduzindo riscos legais e promovendo decisões mais responsáveis. Os estudos defendem maior transparência na análise de requisitos, apoio automatizado para reduzir omissões humanas e uso de modelos que ajudem equipes a manter rastreabilidade e aderência às boas práticas de proteção de dados durante todo o ciclo de desenvolvimento </t>
  </si>
  <si>
    <t>Coreia do Sul</t>
  </si>
  <si>
    <t>De-Identification of Facial Features in Magnetic Resonance Images: Software Development Using Deep Learning Technology</t>
  </si>
  <si>
    <t>https://doi.org/10.2196/22739</t>
  </si>
  <si>
    <t xml:space="preserve">Yeon Uk Jeong, Soyoung Yoo, Young-Hak Kim, Woo Hyun Shim, </t>
  </si>
  <si>
    <t>A IA é aplicada para detectar e anonimizar automaticamente regiões faciais em imagens médicas de ressonância, reduzindo riscos de violar normas como HIPAA e GDPR. Os principais benefícios incluem maior segurança e compartilhamento seguro de dados; desafios incluem equilibrar privacidade e preservação da qualidade da imagem, além da necessidade de governança que assegure aderência às regulamentações.</t>
  </si>
  <si>
    <t>Aplicação de IA na conformidade regulatória A Inteligência Artificial, via Deep Learning, é aplicada para detectar e borrar automaticamente olhos, nariz e orelhas em ressonâncias magnéticas, garantindo a desidentificação exigida por regulações como HIPAA e GDPR. Essa integração permite o compartilhamento ético de "big data" médico para pesquisas secundárias, resolvendo o conflito entre a utilidade dos dados científicos e a proteção da privacidade do paciente.</t>
  </si>
  <si>
    <t>A IA tem sido aplicada por meio de modelos de deep learning capazes de detectar e distorcer automaticamente regiões faciais sensíveis em imagens médicas, reduzindo riscos de identificação e garantindo aderência a normas como HIPAA e GDPR. Isso permite compartilhar dados com maior segurança, embora haja o desafio de equilibrar privacidade e preservação da utilidade das imagens. Estruturas de governança enfatizam anonimização robusta, controle de metadados e conformidade regulatória.</t>
  </si>
  <si>
    <t>O estudo utiliza deep learning com redes U-net 3D e attention-gated networks, combinando segmentação automática e detecção de regiões faciais. São aplicadas técnicas supervisionadas com reconstrução de rótulos e métricas como Dice coefficient, além de pré-processamento e data augmentation para robustez.</t>
  </si>
  <si>
    <t>Técnicas de IA empregadas O estudo emprega primariamente Deep Learning utilizando uma Rede Neural Convolucional (CNN) 3D com arquitetura attention-gated U-net para segmentação de imagens. Adicionalmente, são utilizadas técnicas de aumento de dados (data augmentation) para superar a escassez de amostras e treinar o modelo na detecção de características faciais.</t>
  </si>
  <si>
    <t>As técnicas mais utilizadas são modelos de aprendizado profundo, especialmente redes neurais do tipo U-net 3D com mecanismos de atenção, que segmentam com precisão olhos, nariz e orelhas. O estudo também emprega métodos supervisionados com métricas de similaridade (como Dice coefficient) e data augmentation para aumentar a robustez do processo de conformidade automatizada.</t>
  </si>
  <si>
    <t>Entre os benefícios estão proteção de privacidade, conformidade regulatória e possibilidade de compartilhamento seguro de dados médicos sem perda significativa de informação. Os desafios incluem risco de reidentificação facial, variações entre bases de dados, necessidade de preservar estruturas anatômicas importantes e possíveis impactos na qualidade das imagens.</t>
  </si>
  <si>
    <t>Benefícios e desafios O principal benefício citado é a anonimização robusta que minimiza a perda de dados clínicos importantes, superando métodos antigos que removiam todo o rosto e prejudicavam a análise científica. Os desafios envolvem o equilíbrio (trade-off) entre a usabilidade dos dados e a proteção da privacidade, além da dificuldade técnica de processar imagens heterogêneas de diferentes fontes.</t>
  </si>
  <si>
    <t>Os benefícios apontados incluem maior proteção de privacidade, padronização do processo de anonimização e possibilidade de compartilhar dados para pesquisa sem comprometer informações sensíveis. Entre os desafios, destacam-se a dependência de grandes volumes de dados rotulados, riscos de reidentificação e a necessidade de garantir que a distorção não prejudique a qualidade analítica das imagens.</t>
  </si>
  <si>
    <t>Os estudos reforçam a necessidade de assegurar anonimização conforme HIPAA e GDPR, incluindo exclusão de metadados sensíveis e distorção de regiões faciais identificáveis. O artigo destaca princípios de governança como minimização de dados, responsabilidade no processamento e garantia de que imagens compartilhadas não permitam identificação, equilibrando ética, transparência e compliance.</t>
  </si>
  <si>
    <t>Governança e ética O trabalho aborda a governança focando na conformidade técnica com a HIPAA e o GDPR, que classificam imagens faciais reconstruídas como dados biométricos protegidos. A ética e a prestação de contas são reforçadas pela disponibilização do software como open-source ("Deface program"), permitindo que instituições protejam a identidade dos pacientes ao compartilhar repositórios de imagens.</t>
  </si>
  <si>
    <t>Os estudos tratam governança e ética reforçando a obrigação de remover identificadores diretos e metadados, bem como distorcer regiões faciais conforme exigido por regulamentos como HIPAA e GDPR. A abordagem privilegia transparência no processo de anonimização, responsabilidade sobre o tratamento de dados e medidas que assegurem que o compartilhamento não permita identificação do paciente.</t>
  </si>
  <si>
    <t>RQ</t>
  </si>
  <si>
    <t>Total</t>
  </si>
  <si>
    <t>ChatGPT – acertos %</t>
  </si>
  <si>
    <t>Gemini – acertos %</t>
  </si>
  <si>
    <t>ChatGPT – parciais (%)</t>
  </si>
  <si>
    <t>Gemini – parciais (%)</t>
  </si>
  <si>
    <t>ChatGPT – erros %</t>
  </si>
  <si>
    <t>Gemini – erros %</t>
  </si>
  <si>
    <t>Concordância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</si>
</sst>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color theme="1"/>
      <name val="Arial"/>
    </font>
    <font>
      <color rgb="FFFF0000"/>
      <name val="Arial"/>
      <scheme val="minor"/>
    </font>
    <font>
      <u/>
      <color rgb="FF1155CC"/>
      <name val="Arial"/>
    </font>
    <font>
      <i/>
      <color rgb="FFFF0000"/>
      <name val="Arial"/>
      <scheme val="minor"/>
    </font>
    <font>
      <color rgb="FF000000"/>
      <name val="Arial"/>
      <scheme val="minor"/>
    </font>
    <font>
      <u/>
      <color rgb="FF1155CC"/>
      <name val="Arial"/>
    </font>
  </fonts>
  <fills count="4">
    <fill>
      <patternFill patternType="none"/>
    </fill>
    <fill>
      <patternFill patternType="lightGray"/>
    </fill>
    <fill>
      <patternFill patternType="solid">
        <fgColor rgb="FFCFE2F3"/>
        <bgColor rgb="FFCFE2F3"/>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readingOrder="0" shrinkToFit="0" wrapText="1"/>
    </xf>
    <xf borderId="1" fillId="2" fontId="1" numFmtId="0" xfId="0" applyAlignment="1" applyBorder="1" applyFont="1">
      <alignment readingOrder="0" shrinkToFit="0" wrapText="1"/>
    </xf>
    <xf borderId="0" fillId="0" fontId="3" numFmtId="0" xfId="0" applyAlignment="1" applyFont="1">
      <alignment horizontal="right" vertical="bottom"/>
    </xf>
    <xf borderId="0" fillId="0" fontId="4" numFmtId="0" xfId="0" applyAlignment="1" applyFont="1">
      <alignment readingOrder="0"/>
    </xf>
    <xf borderId="0" fillId="0" fontId="2" numFmtId="0" xfId="0" applyAlignment="1" applyFont="1">
      <alignment readingOrder="0"/>
    </xf>
    <xf borderId="0" fillId="0" fontId="5"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6" numFmtId="0" xfId="0" applyAlignment="1" applyFont="1">
      <alignment readingOrder="0" shrinkToFit="0" wrapText="0"/>
    </xf>
    <xf borderId="0" fillId="0" fontId="7" numFmtId="0" xfId="0" applyAlignment="1" applyFont="1">
      <alignment readingOrder="0" shrinkToFit="0" wrapText="0"/>
    </xf>
    <xf borderId="0" fillId="0" fontId="2" numFmtId="0" xfId="0" applyFont="1"/>
    <xf borderId="0" fillId="0" fontId="7"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3" numFmtId="0" xfId="0" applyAlignment="1" applyFont="1">
      <alignment readingOrder="0" vertical="bottom"/>
    </xf>
    <xf borderId="0" fillId="0" fontId="2" numFmtId="0" xfId="0" applyAlignment="1" applyFont="1">
      <alignment shrinkToFit="0" wrapText="0"/>
    </xf>
    <xf borderId="0" fillId="0" fontId="8" numFmtId="0" xfId="0" applyAlignment="1" applyFont="1">
      <alignment shrinkToFit="0" vertical="bottom" wrapText="0"/>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2" numFmtId="0" xfId="0" applyAlignment="1" applyFont="1">
      <alignment shrinkToFit="0" wrapText="0"/>
    </xf>
    <xf borderId="0" fillId="3" fontId="1" numFmtId="0" xfId="0" applyAlignment="1" applyFill="1" applyFont="1">
      <alignment readingOrder="0"/>
    </xf>
  </cellXfs>
  <cellStyles count="1">
    <cellStyle xfId="0" name="Normal" builtinId="0"/>
  </cellStyles>
  <dxfs count="5">
    <dxf>
      <font/>
      <fill>
        <patternFill patternType="solid">
          <fgColor rgb="FFB7E1CD"/>
          <bgColor rgb="FFB7E1CD"/>
        </patternFill>
      </fill>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B6D7A8"/>
          <bgColor rgb="FFB6D7A8"/>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document/10556135" TargetMode="External"/><Relationship Id="rId190" Type="http://schemas.openxmlformats.org/officeDocument/2006/relationships/hyperlink" Target="https://doi.org/10.1016/j.infsof.2022.106853" TargetMode="External"/><Relationship Id="rId42" Type="http://schemas.openxmlformats.org/officeDocument/2006/relationships/hyperlink" Target="https://ieeexplore.ieee.org/document/11081062" TargetMode="External"/><Relationship Id="rId41" Type="http://schemas.openxmlformats.org/officeDocument/2006/relationships/hyperlink" Target="https://ieeexplore.ieee.org/document/11081062" TargetMode="External"/><Relationship Id="rId44" Type="http://schemas.openxmlformats.org/officeDocument/2006/relationships/hyperlink" Target="https://ieeexplore.ieee.org/document/11081062" TargetMode="External"/><Relationship Id="rId194" Type="http://schemas.openxmlformats.org/officeDocument/2006/relationships/hyperlink" Target="https://doi.org/10.2196/22739" TargetMode="External"/><Relationship Id="rId43" Type="http://schemas.openxmlformats.org/officeDocument/2006/relationships/hyperlink" Target="https://ieeexplore.ieee.org/document/11081062" TargetMode="External"/><Relationship Id="rId193" Type="http://schemas.openxmlformats.org/officeDocument/2006/relationships/hyperlink" Target="https://doi.org/10.2196/22739" TargetMode="External"/><Relationship Id="rId46" Type="http://schemas.openxmlformats.org/officeDocument/2006/relationships/hyperlink" Target="https://ieeexplore.ieee.org/document/10903892" TargetMode="External"/><Relationship Id="rId192" Type="http://schemas.openxmlformats.org/officeDocument/2006/relationships/hyperlink" Target="https://doi.org/10.1016/j.infsof.2022.106853" TargetMode="External"/><Relationship Id="rId45" Type="http://schemas.openxmlformats.org/officeDocument/2006/relationships/hyperlink" Target="https://ieeexplore.ieee.org/document/10903892" TargetMode="External"/><Relationship Id="rId191" Type="http://schemas.openxmlformats.org/officeDocument/2006/relationships/hyperlink" Target="https://doi.org/10.1016/j.infsof.2022.106853" TargetMode="External"/><Relationship Id="rId48" Type="http://schemas.openxmlformats.org/officeDocument/2006/relationships/hyperlink" Target="https://ieeexplore.ieee.org/document/10903892" TargetMode="External"/><Relationship Id="rId187" Type="http://schemas.openxmlformats.org/officeDocument/2006/relationships/hyperlink" Target="https://doi.org/10.1016/j.comcom.2025.108145" TargetMode="External"/><Relationship Id="rId47" Type="http://schemas.openxmlformats.org/officeDocument/2006/relationships/hyperlink" Target="https://ieeexplore.ieee.org/document/10903892" TargetMode="External"/><Relationship Id="rId186" Type="http://schemas.openxmlformats.org/officeDocument/2006/relationships/hyperlink" Target="https://doi.org/10.1016/j.comcom.2025.108145" TargetMode="External"/><Relationship Id="rId185" Type="http://schemas.openxmlformats.org/officeDocument/2006/relationships/hyperlink" Target="https://doi.org/10.1016/j.comcom.2025.108145" TargetMode="External"/><Relationship Id="rId49" Type="http://schemas.openxmlformats.org/officeDocument/2006/relationships/hyperlink" Target="https://ieeexplore.ieee.org/document/11076655" TargetMode="External"/><Relationship Id="rId184" Type="http://schemas.openxmlformats.org/officeDocument/2006/relationships/hyperlink" Target="https://doi.org/10.29297/orbit.v2i2.109" TargetMode="External"/><Relationship Id="rId189" Type="http://schemas.openxmlformats.org/officeDocument/2006/relationships/hyperlink" Target="https://doi.org/10.1016/j.infsof.2022.106853" TargetMode="External"/><Relationship Id="rId188" Type="http://schemas.openxmlformats.org/officeDocument/2006/relationships/hyperlink" Target="https://doi.org/10.1016/j.comcom.2025.108145" TargetMode="External"/><Relationship Id="rId31" Type="http://schemas.openxmlformats.org/officeDocument/2006/relationships/hyperlink" Target="https://ieeexplore.ieee.org/document/9637296" TargetMode="External"/><Relationship Id="rId30" Type="http://schemas.openxmlformats.org/officeDocument/2006/relationships/hyperlink" Target="https://ieeexplore.ieee.org/document/9637296" TargetMode="External"/><Relationship Id="rId33" Type="http://schemas.openxmlformats.org/officeDocument/2006/relationships/hyperlink" Target="https://ieeexplore.ieee.org/document/11121094" TargetMode="External"/><Relationship Id="rId183" Type="http://schemas.openxmlformats.org/officeDocument/2006/relationships/hyperlink" Target="https://doi.org/10.29297/orbit.v2i2.109" TargetMode="External"/><Relationship Id="rId32" Type="http://schemas.openxmlformats.org/officeDocument/2006/relationships/hyperlink" Target="https://ieeexplore.ieee.org/document/9637296" TargetMode="External"/><Relationship Id="rId182" Type="http://schemas.openxmlformats.org/officeDocument/2006/relationships/hyperlink" Target="https://doi.org/10.29297/orbit.v2i2.109" TargetMode="External"/><Relationship Id="rId35" Type="http://schemas.openxmlformats.org/officeDocument/2006/relationships/hyperlink" Target="https://ieeexplore.ieee.org/document/11121094" TargetMode="External"/><Relationship Id="rId181" Type="http://schemas.openxmlformats.org/officeDocument/2006/relationships/hyperlink" Target="https://doi.org/10.29297/orbit.v2i2.109" TargetMode="External"/><Relationship Id="rId34" Type="http://schemas.openxmlformats.org/officeDocument/2006/relationships/hyperlink" Target="https://ieeexplore.ieee.org/document/11121094" TargetMode="External"/><Relationship Id="rId180" Type="http://schemas.openxmlformats.org/officeDocument/2006/relationships/hyperlink" Target="https://doi.org/10.1016/j.cose.2025.104659" TargetMode="External"/><Relationship Id="rId37" Type="http://schemas.openxmlformats.org/officeDocument/2006/relationships/hyperlink" Target="https://ieeexplore.ieee.org/document/10556135" TargetMode="External"/><Relationship Id="rId176" Type="http://schemas.openxmlformats.org/officeDocument/2006/relationships/hyperlink" Target="https://doi.org/10.29297/orbit.v2i1.101" TargetMode="External"/><Relationship Id="rId36" Type="http://schemas.openxmlformats.org/officeDocument/2006/relationships/hyperlink" Target="https://ieeexplore.ieee.org/document/11121094" TargetMode="External"/><Relationship Id="rId175" Type="http://schemas.openxmlformats.org/officeDocument/2006/relationships/hyperlink" Target="https://doi.org/10.29297/orbit.v2i1.101" TargetMode="External"/><Relationship Id="rId39" Type="http://schemas.openxmlformats.org/officeDocument/2006/relationships/hyperlink" Target="https://ieeexplore.ieee.org/document/10556135" TargetMode="External"/><Relationship Id="rId174" Type="http://schemas.openxmlformats.org/officeDocument/2006/relationships/hyperlink" Target="https://doi.org/10.29297/orbit.v2i1.101" TargetMode="External"/><Relationship Id="rId38" Type="http://schemas.openxmlformats.org/officeDocument/2006/relationships/hyperlink" Target="https://ieeexplore.ieee.org/document/10556135" TargetMode="External"/><Relationship Id="rId173" Type="http://schemas.openxmlformats.org/officeDocument/2006/relationships/hyperlink" Target="https://doi.org/10.29297/orbit.v2i1.101" TargetMode="External"/><Relationship Id="rId179" Type="http://schemas.openxmlformats.org/officeDocument/2006/relationships/hyperlink" Target="https://doi.org/10.1016/j.cose.2025.104659" TargetMode="External"/><Relationship Id="rId178" Type="http://schemas.openxmlformats.org/officeDocument/2006/relationships/hyperlink" Target="https://doi.org/10.1016/j.cose.2025.104659" TargetMode="External"/><Relationship Id="rId177" Type="http://schemas.openxmlformats.org/officeDocument/2006/relationships/hyperlink" Target="https://doi.org/10.1016/j.cose.2025.104659" TargetMode="External"/><Relationship Id="rId20" Type="http://schemas.openxmlformats.org/officeDocument/2006/relationships/hyperlink" Target="https://ieeexplore.ieee.org/document/10167495" TargetMode="External"/><Relationship Id="rId22" Type="http://schemas.openxmlformats.org/officeDocument/2006/relationships/hyperlink" Target="https://ieeexplore.ieee.org/document/11190380" TargetMode="External"/><Relationship Id="rId21" Type="http://schemas.openxmlformats.org/officeDocument/2006/relationships/hyperlink" Target="https://ieeexplore.ieee.org/document/11190380" TargetMode="External"/><Relationship Id="rId24" Type="http://schemas.openxmlformats.org/officeDocument/2006/relationships/hyperlink" Target="https://ieeexplore.ieee.org/document/11190380" TargetMode="External"/><Relationship Id="rId23" Type="http://schemas.openxmlformats.org/officeDocument/2006/relationships/hyperlink" Target="https://ieeexplore.ieee.org/document/11190380" TargetMode="External"/><Relationship Id="rId26" Type="http://schemas.openxmlformats.org/officeDocument/2006/relationships/hyperlink" Target="https://ieeexplore.ieee.org/document/10929291" TargetMode="External"/><Relationship Id="rId25" Type="http://schemas.openxmlformats.org/officeDocument/2006/relationships/hyperlink" Target="https://ieeexplore.ieee.org/document/10929291" TargetMode="External"/><Relationship Id="rId28" Type="http://schemas.openxmlformats.org/officeDocument/2006/relationships/hyperlink" Target="https://ieeexplore.ieee.org/document/10929291" TargetMode="External"/><Relationship Id="rId27" Type="http://schemas.openxmlformats.org/officeDocument/2006/relationships/hyperlink" Target="https://ieeexplore.ieee.org/document/10929291" TargetMode="External"/><Relationship Id="rId29" Type="http://schemas.openxmlformats.org/officeDocument/2006/relationships/hyperlink" Target="https://ieeexplore.ieee.org/document/9637296" TargetMode="External"/><Relationship Id="rId11" Type="http://schemas.openxmlformats.org/officeDocument/2006/relationships/hyperlink" Target="https://doi.org/10.1016/j.jbusres.2022.07.045" TargetMode="External"/><Relationship Id="rId10" Type="http://schemas.openxmlformats.org/officeDocument/2006/relationships/hyperlink" Target="https://doi.org/10.1016/j.jbusres.2022.07.045" TargetMode="External"/><Relationship Id="rId13" Type="http://schemas.openxmlformats.org/officeDocument/2006/relationships/hyperlink" Target="https://ieeexplore.ieee.org/document/9420457/authors" TargetMode="External"/><Relationship Id="rId12" Type="http://schemas.openxmlformats.org/officeDocument/2006/relationships/hyperlink" Target="https://doi.org/10.1016/j.jbusres.2022.07.045" TargetMode="External"/><Relationship Id="rId15" Type="http://schemas.openxmlformats.org/officeDocument/2006/relationships/hyperlink" Target="https://ieeexplore.ieee.org/document/9420457/authors" TargetMode="External"/><Relationship Id="rId14" Type="http://schemas.openxmlformats.org/officeDocument/2006/relationships/hyperlink" Target="https://ieeexplore.ieee.org/document/9420457/authors" TargetMode="External"/><Relationship Id="rId197" Type="http://schemas.openxmlformats.org/officeDocument/2006/relationships/drawing" Target="../drawings/drawing1.xml"/><Relationship Id="rId17" Type="http://schemas.openxmlformats.org/officeDocument/2006/relationships/hyperlink" Target="https://ieeexplore.ieee.org/document/10167495" TargetMode="External"/><Relationship Id="rId196" Type="http://schemas.openxmlformats.org/officeDocument/2006/relationships/hyperlink" Target="https://doi.org/10.2196/22739" TargetMode="External"/><Relationship Id="rId16" Type="http://schemas.openxmlformats.org/officeDocument/2006/relationships/hyperlink" Target="https://ieeexplore.ieee.org/document/9420457/authors" TargetMode="External"/><Relationship Id="rId195" Type="http://schemas.openxmlformats.org/officeDocument/2006/relationships/hyperlink" Target="https://doi.org/10.2196/22739" TargetMode="External"/><Relationship Id="rId19" Type="http://schemas.openxmlformats.org/officeDocument/2006/relationships/hyperlink" Target="https://ieeexplore.ieee.org/document/10167495" TargetMode="External"/><Relationship Id="rId18" Type="http://schemas.openxmlformats.org/officeDocument/2006/relationships/hyperlink" Target="https://ieeexplore.ieee.org/document/10167495" TargetMode="External"/><Relationship Id="rId84" Type="http://schemas.openxmlformats.org/officeDocument/2006/relationships/hyperlink" Target="https://www.scopus.com/pages/publications/85092439152?origin=resultslist" TargetMode="External"/><Relationship Id="rId83" Type="http://schemas.openxmlformats.org/officeDocument/2006/relationships/hyperlink" Target="https://www.scopus.com/pages/publications/85092439152?origin=resultslist" TargetMode="External"/><Relationship Id="rId86" Type="http://schemas.openxmlformats.org/officeDocument/2006/relationships/hyperlink" Target="https://www.scopus.com/inward/record.uri?eid=2-s2.0-105012769787&amp;doi=10.1109%2FSIML65326.2025.11081062&amp;partnerID=40&amp;md5=b61983e789b6880c6b305d787196d120" TargetMode="External"/><Relationship Id="rId85" Type="http://schemas.openxmlformats.org/officeDocument/2006/relationships/hyperlink" Target="https://www.scopus.com/inward/record.uri?eid=2-s2.0-105012769787&amp;doi=10.1109%2FSIML65326.2025.11081062&amp;partnerID=40&amp;md5=b61983e789b6880c6b305d787196d120" TargetMode="External"/><Relationship Id="rId88" Type="http://schemas.openxmlformats.org/officeDocument/2006/relationships/hyperlink" Target="https://www.scopus.com/inward/record.uri?eid=2-s2.0-105012769787&amp;doi=10.1109%2FSIML65326.2025.11081062&amp;partnerID=40&amp;md5=b61983e789b6880c6b305d787196d120" TargetMode="External"/><Relationship Id="rId150" Type="http://schemas.openxmlformats.org/officeDocument/2006/relationships/hyperlink" Target="https://www.scopus.com/pages/publications/85136240479?origin=resultslist" TargetMode="External"/><Relationship Id="rId87" Type="http://schemas.openxmlformats.org/officeDocument/2006/relationships/hyperlink" Target="https://www.scopus.com/inward/record.uri?eid=2-s2.0-105012769787&amp;doi=10.1109%2FSIML65326.2025.11081062&amp;partnerID=40&amp;md5=b61983e789b6880c6b305d787196d120" TargetMode="External"/><Relationship Id="rId89" Type="http://schemas.openxmlformats.org/officeDocument/2006/relationships/hyperlink" Target="https://www.scopus.com/inward/record.uri?eid=2-s2.0-105011042769&amp;doi=10.1109%2FMDM65600.2025.00043&amp;partnerID=40&amp;md5=398491b9bae17736014015dbd8821455" TargetMode="External"/><Relationship Id="rId80" Type="http://schemas.openxmlformats.org/officeDocument/2006/relationships/hyperlink" Target="https://www.scopus.com/pages/publications/85091537231?origin=resultslist" TargetMode="External"/><Relationship Id="rId82" Type="http://schemas.openxmlformats.org/officeDocument/2006/relationships/hyperlink" Target="https://www.scopus.com/pages/publications/85092439152?origin=resultslist" TargetMode="External"/><Relationship Id="rId81" Type="http://schemas.openxmlformats.org/officeDocument/2006/relationships/hyperlink" Target="https://www.scopus.com/pages/publications/85092439152?origin=resultslist" TargetMode="External"/><Relationship Id="rId1" Type="http://schemas.openxmlformats.org/officeDocument/2006/relationships/hyperlink" Target="https://dl.acm.org/doi/10.1145/3614424" TargetMode="External"/><Relationship Id="rId2" Type="http://schemas.openxmlformats.org/officeDocument/2006/relationships/hyperlink" Target="https://dl.acm.org/doi/10.1145/3614424" TargetMode="External"/><Relationship Id="rId3" Type="http://schemas.openxmlformats.org/officeDocument/2006/relationships/hyperlink" Target="https://dl.acm.org/doi/10.1145/3614424" TargetMode="External"/><Relationship Id="rId149" Type="http://schemas.openxmlformats.org/officeDocument/2006/relationships/hyperlink" Target="https://www.scopus.com/pages/publications/85136240479?origin=resultslist" TargetMode="External"/><Relationship Id="rId4" Type="http://schemas.openxmlformats.org/officeDocument/2006/relationships/hyperlink" Target="https://dl.acm.org/doi/10.1145/3614424" TargetMode="External"/><Relationship Id="rId148" Type="http://schemas.openxmlformats.org/officeDocument/2006/relationships/hyperlink" Target="https://www.scopus.com/pages/publications/85152316928?origin=resultslist" TargetMode="External"/><Relationship Id="rId9" Type="http://schemas.openxmlformats.org/officeDocument/2006/relationships/hyperlink" Target="https://doi.org/10.1016/j.jbusres.2022.07.045" TargetMode="External"/><Relationship Id="rId143" Type="http://schemas.openxmlformats.org/officeDocument/2006/relationships/hyperlink" Target="https://www.scopus.com/pages/publications/85163483850?origin=resultslist" TargetMode="External"/><Relationship Id="rId142" Type="http://schemas.openxmlformats.org/officeDocument/2006/relationships/hyperlink" Target="https://www.scopus.com/pages/publications/85163483850?origin=resultslist" TargetMode="External"/><Relationship Id="rId141" Type="http://schemas.openxmlformats.org/officeDocument/2006/relationships/hyperlink" Target="https://www.scopus.com/pages/publications/85163483850?origin=resultslist" TargetMode="External"/><Relationship Id="rId140" Type="http://schemas.openxmlformats.org/officeDocument/2006/relationships/hyperlink" Target="https://www.scopus.com/inward/record.uri?eid=2-s2.0-85163735171&amp;doi=10.1007%2Fs10515-023-00387-9&amp;partnerID=40&amp;md5=6b782c718a816e11b2cc1d523d328f6f" TargetMode="External"/><Relationship Id="rId5" Type="http://schemas.openxmlformats.org/officeDocument/2006/relationships/hyperlink" Target="https://doi.org/10.1016/j.cose.2025.104339" TargetMode="External"/><Relationship Id="rId147" Type="http://schemas.openxmlformats.org/officeDocument/2006/relationships/hyperlink" Target="https://www.scopus.com/pages/publications/85152316928?origin=resultslist" TargetMode="External"/><Relationship Id="rId6" Type="http://schemas.openxmlformats.org/officeDocument/2006/relationships/hyperlink" Target="https://doi.org/10.1016/j.cose.2025.104339" TargetMode="External"/><Relationship Id="rId146" Type="http://schemas.openxmlformats.org/officeDocument/2006/relationships/hyperlink" Target="https://www.scopus.com/pages/publications/85152316928?origin=resultslist" TargetMode="External"/><Relationship Id="rId7" Type="http://schemas.openxmlformats.org/officeDocument/2006/relationships/hyperlink" Target="https://doi.org/10.1016/j.cose.2025.104339" TargetMode="External"/><Relationship Id="rId145" Type="http://schemas.openxmlformats.org/officeDocument/2006/relationships/hyperlink" Target="https://www.scopus.com/pages/publications/85152316928?origin=resultslist" TargetMode="External"/><Relationship Id="rId8" Type="http://schemas.openxmlformats.org/officeDocument/2006/relationships/hyperlink" Target="https://doi.org/10.1016/j.cose.2025.104339" TargetMode="External"/><Relationship Id="rId144" Type="http://schemas.openxmlformats.org/officeDocument/2006/relationships/hyperlink" Target="https://www.scopus.com/pages/publications/85163483850?origin=resultslist" TargetMode="External"/><Relationship Id="rId73" Type="http://schemas.openxmlformats.org/officeDocument/2006/relationships/hyperlink" Target="https://www.scopus.com/pages/publications/105004887982?origin=resultslist" TargetMode="External"/><Relationship Id="rId72" Type="http://schemas.openxmlformats.org/officeDocument/2006/relationships/hyperlink" Target="https://www.scopus.com/pages/publications/105008942662?origin=resultslist" TargetMode="External"/><Relationship Id="rId75" Type="http://schemas.openxmlformats.org/officeDocument/2006/relationships/hyperlink" Target="https://www.scopus.com/pages/publications/105004887982?origin=resultslist" TargetMode="External"/><Relationship Id="rId74" Type="http://schemas.openxmlformats.org/officeDocument/2006/relationships/hyperlink" Target="https://www.scopus.com/pages/publications/105004887982?origin=resultslist" TargetMode="External"/><Relationship Id="rId77" Type="http://schemas.openxmlformats.org/officeDocument/2006/relationships/hyperlink" Target="https://www.scopus.com/pages/publications/85091537231?origin=resultslist" TargetMode="External"/><Relationship Id="rId76" Type="http://schemas.openxmlformats.org/officeDocument/2006/relationships/hyperlink" Target="https://www.scopus.com/pages/publications/105004887982?origin=resultslist" TargetMode="External"/><Relationship Id="rId79" Type="http://schemas.openxmlformats.org/officeDocument/2006/relationships/hyperlink" Target="https://www.scopus.com/pages/publications/85091537231?origin=resultslist" TargetMode="External"/><Relationship Id="rId78" Type="http://schemas.openxmlformats.org/officeDocument/2006/relationships/hyperlink" Target="https://www.scopus.com/pages/publications/85091537231?origin=resultslist" TargetMode="External"/><Relationship Id="rId71" Type="http://schemas.openxmlformats.org/officeDocument/2006/relationships/hyperlink" Target="https://www.scopus.com/pages/publications/105008942662?origin=resultslist" TargetMode="External"/><Relationship Id="rId70" Type="http://schemas.openxmlformats.org/officeDocument/2006/relationships/hyperlink" Target="https://www.scopus.com/pages/publications/105008942662?origin=resultslist" TargetMode="External"/><Relationship Id="rId139" Type="http://schemas.openxmlformats.org/officeDocument/2006/relationships/hyperlink" Target="https://www.scopus.com/inward/record.uri?eid=2-s2.0-85163735171&amp;doi=10.1007%2Fs10515-023-00387-9&amp;partnerID=40&amp;md5=6b782c718a816e11b2cc1d523d328f6f" TargetMode="External"/><Relationship Id="rId138" Type="http://schemas.openxmlformats.org/officeDocument/2006/relationships/hyperlink" Target="https://www.scopus.com/inward/record.uri?eid=2-s2.0-85163735171&amp;doi=10.1007%2Fs10515-023-00387-9&amp;partnerID=40&amp;md5=6b782c718a816e11b2cc1d523d328f6f" TargetMode="External"/><Relationship Id="rId137" Type="http://schemas.openxmlformats.org/officeDocument/2006/relationships/hyperlink" Target="https://www.scopus.com/inward/record.uri?eid=2-s2.0-85163735171&amp;doi=10.1007%2Fs10515-023-00387-9&amp;partnerID=40&amp;md5=6b782c718a816e11b2cc1d523d328f6f" TargetMode="External"/><Relationship Id="rId132" Type="http://schemas.openxmlformats.org/officeDocument/2006/relationships/hyperlink" Target="https://www.scopus.com/inward/record.uri?eid=2-s2.0-85206636978&amp;doi=10.1109%2FICESC60852.2024.10690000&amp;partnerID=40&amp;md5=d26fe48db114c66588713654b2aa89c4" TargetMode="External"/><Relationship Id="rId131" Type="http://schemas.openxmlformats.org/officeDocument/2006/relationships/hyperlink" Target="https://www.scopus.com/inward/record.uri?eid=2-s2.0-85206636978&amp;doi=10.1109%2FICESC60852.2024.10690000&amp;partnerID=40&amp;md5=d26fe48db114c66588713654b2aa89c4" TargetMode="External"/><Relationship Id="rId130" Type="http://schemas.openxmlformats.org/officeDocument/2006/relationships/hyperlink" Target="https://www.scopus.com/inward/record.uri?eid=2-s2.0-85206636978&amp;doi=10.1109%2FICESC60852.2024.10690000&amp;partnerID=40&amp;md5=d26fe48db114c66588713654b2aa89c4" TargetMode="External"/><Relationship Id="rId136" Type="http://schemas.openxmlformats.org/officeDocument/2006/relationships/hyperlink" Target="https://www.scopus.com/inward/record.uri?eid=2-s2.0-85182465522&amp;doi=10.17705%2F1jais.00864&amp;partnerID=40&amp;md5=7d978e6be149813ddd7a6a255b635c12" TargetMode="External"/><Relationship Id="rId135" Type="http://schemas.openxmlformats.org/officeDocument/2006/relationships/hyperlink" Target="https://www.scopus.com/inward/record.uri?eid=2-s2.0-85182465522&amp;doi=10.17705%2F1jais.00864&amp;partnerID=40&amp;md5=7d978e6be149813ddd7a6a255b635c12" TargetMode="External"/><Relationship Id="rId134" Type="http://schemas.openxmlformats.org/officeDocument/2006/relationships/hyperlink" Target="https://www.scopus.com/inward/record.uri?eid=2-s2.0-85182465522&amp;doi=10.17705%2F1jais.00864&amp;partnerID=40&amp;md5=7d978e6be149813ddd7a6a255b635c12" TargetMode="External"/><Relationship Id="rId133" Type="http://schemas.openxmlformats.org/officeDocument/2006/relationships/hyperlink" Target="https://www.scopus.com/inward/record.uri?eid=2-s2.0-85182465522&amp;doi=10.17705%2F1jais.00864&amp;partnerID=40&amp;md5=7d978e6be149813ddd7a6a255b635c12" TargetMode="External"/><Relationship Id="rId62" Type="http://schemas.openxmlformats.org/officeDocument/2006/relationships/hyperlink" Target="https://www.scopus.com/pages/publications/85104660519?origin=resultslist" TargetMode="External"/><Relationship Id="rId61" Type="http://schemas.openxmlformats.org/officeDocument/2006/relationships/hyperlink" Target="https://www.scopus.com/pages/publications/85104660519?origin=resultslist" TargetMode="External"/><Relationship Id="rId64" Type="http://schemas.openxmlformats.org/officeDocument/2006/relationships/hyperlink" Target="https://www.scopus.com/pages/publications/85104660519?origin=resultslist" TargetMode="External"/><Relationship Id="rId63" Type="http://schemas.openxmlformats.org/officeDocument/2006/relationships/hyperlink" Target="https://www.scopus.com/pages/publications/85104660519?origin=resultslist" TargetMode="External"/><Relationship Id="rId66" Type="http://schemas.openxmlformats.org/officeDocument/2006/relationships/hyperlink" Target="https://www.scopus.com/pages/publications/105015343709?origin=resultslist" TargetMode="External"/><Relationship Id="rId172" Type="http://schemas.openxmlformats.org/officeDocument/2006/relationships/hyperlink" Target="https://doi.org/10.1016/j.cose.2024.103997" TargetMode="External"/><Relationship Id="rId65" Type="http://schemas.openxmlformats.org/officeDocument/2006/relationships/hyperlink" Target="https://www.scopus.com/pages/publications/105015343709?origin=resultslist" TargetMode="External"/><Relationship Id="rId171" Type="http://schemas.openxmlformats.org/officeDocument/2006/relationships/hyperlink" Target="https://doi.org/10.1016/j.cose.2024.103997" TargetMode="External"/><Relationship Id="rId68" Type="http://schemas.openxmlformats.org/officeDocument/2006/relationships/hyperlink" Target="https://www.scopus.com/pages/publications/105015343709?origin=resultslist" TargetMode="External"/><Relationship Id="rId170" Type="http://schemas.openxmlformats.org/officeDocument/2006/relationships/hyperlink" Target="https://doi.org/10.1016/j.cose.2024.103997" TargetMode="External"/><Relationship Id="rId67" Type="http://schemas.openxmlformats.org/officeDocument/2006/relationships/hyperlink" Target="https://www.scopus.com/pages/publications/105015343709?origin=resultslist" TargetMode="External"/><Relationship Id="rId60" Type="http://schemas.openxmlformats.org/officeDocument/2006/relationships/hyperlink" Target="https://www.scopus.com/pages/publications/105016088492?origin=resultslist" TargetMode="External"/><Relationship Id="rId165" Type="http://schemas.openxmlformats.org/officeDocument/2006/relationships/hyperlink" Target="https://www.scopus.com/pages/publications/85105589021?origin=resultslist" TargetMode="External"/><Relationship Id="rId69" Type="http://schemas.openxmlformats.org/officeDocument/2006/relationships/hyperlink" Target="https://www.scopus.com/pages/publications/105008942662?origin=resultslist" TargetMode="External"/><Relationship Id="rId164" Type="http://schemas.openxmlformats.org/officeDocument/2006/relationships/hyperlink" Target="https://www.scopus.com/pages/publications/85124186150?origin=resultslist" TargetMode="External"/><Relationship Id="rId163" Type="http://schemas.openxmlformats.org/officeDocument/2006/relationships/hyperlink" Target="https://www.scopus.com/pages/publications/85124186150?origin=resultslist" TargetMode="External"/><Relationship Id="rId162" Type="http://schemas.openxmlformats.org/officeDocument/2006/relationships/hyperlink" Target="https://www.scopus.com/pages/publications/85124186150?origin=resultslist" TargetMode="External"/><Relationship Id="rId169" Type="http://schemas.openxmlformats.org/officeDocument/2006/relationships/hyperlink" Target="https://doi.org/10.1016/j.cose.2024.103997" TargetMode="External"/><Relationship Id="rId168" Type="http://schemas.openxmlformats.org/officeDocument/2006/relationships/hyperlink" Target="https://www.scopus.com/pages/publications/85105589021?origin=resultslist" TargetMode="External"/><Relationship Id="rId167" Type="http://schemas.openxmlformats.org/officeDocument/2006/relationships/hyperlink" Target="https://www.scopus.com/pages/publications/85105589021?origin=resultslist" TargetMode="External"/><Relationship Id="rId166" Type="http://schemas.openxmlformats.org/officeDocument/2006/relationships/hyperlink" Target="https://www.scopus.com/pages/publications/85105589021?origin=resultslist" TargetMode="External"/><Relationship Id="rId51" Type="http://schemas.openxmlformats.org/officeDocument/2006/relationships/hyperlink" Target="https://ieeexplore.ieee.org/document/11076655" TargetMode="External"/><Relationship Id="rId50" Type="http://schemas.openxmlformats.org/officeDocument/2006/relationships/hyperlink" Target="https://ieeexplore.ieee.org/document/11076655" TargetMode="External"/><Relationship Id="rId53" Type="http://schemas.openxmlformats.org/officeDocument/2006/relationships/hyperlink" Target="https://ieeexplore.ieee.org/document/10823524" TargetMode="External"/><Relationship Id="rId52" Type="http://schemas.openxmlformats.org/officeDocument/2006/relationships/hyperlink" Target="https://ieeexplore.ieee.org/document/11076655" TargetMode="External"/><Relationship Id="rId55" Type="http://schemas.openxmlformats.org/officeDocument/2006/relationships/hyperlink" Target="https://ieeexplore.ieee.org/document/10823524" TargetMode="External"/><Relationship Id="rId161" Type="http://schemas.openxmlformats.org/officeDocument/2006/relationships/hyperlink" Target="https://www.scopus.com/pages/publications/85124186150?origin=resultslist" TargetMode="External"/><Relationship Id="rId54" Type="http://schemas.openxmlformats.org/officeDocument/2006/relationships/hyperlink" Target="https://ieeexplore.ieee.org/document/10823524" TargetMode="External"/><Relationship Id="rId160" Type="http://schemas.openxmlformats.org/officeDocument/2006/relationships/hyperlink" Target="https://www.scopus.com/pages/publications/85173124615?origin=resultslist" TargetMode="External"/><Relationship Id="rId57" Type="http://schemas.openxmlformats.org/officeDocument/2006/relationships/hyperlink" Target="https://www.scopus.com/pages/publications/105016088492?origin=resultslist" TargetMode="External"/><Relationship Id="rId56" Type="http://schemas.openxmlformats.org/officeDocument/2006/relationships/hyperlink" Target="https://ieeexplore.ieee.org/document/10823524" TargetMode="External"/><Relationship Id="rId159" Type="http://schemas.openxmlformats.org/officeDocument/2006/relationships/hyperlink" Target="https://www.scopus.com/pages/publications/85173124615?origin=resultslist" TargetMode="External"/><Relationship Id="rId59" Type="http://schemas.openxmlformats.org/officeDocument/2006/relationships/hyperlink" Target="https://www.scopus.com/pages/publications/105016088492?origin=resultslist" TargetMode="External"/><Relationship Id="rId154" Type="http://schemas.openxmlformats.org/officeDocument/2006/relationships/hyperlink" Target="https://www.scopus.com/pages/publications/85184350153?origin=resultslist" TargetMode="External"/><Relationship Id="rId58" Type="http://schemas.openxmlformats.org/officeDocument/2006/relationships/hyperlink" Target="https://www.scopus.com/pages/publications/105016088492?origin=resultslist" TargetMode="External"/><Relationship Id="rId153" Type="http://schemas.openxmlformats.org/officeDocument/2006/relationships/hyperlink" Target="https://www.scopus.com/pages/publications/85184350153?origin=resultslist" TargetMode="External"/><Relationship Id="rId152" Type="http://schemas.openxmlformats.org/officeDocument/2006/relationships/hyperlink" Target="https://www.scopus.com/pages/publications/85136240479?origin=resultslist" TargetMode="External"/><Relationship Id="rId151" Type="http://schemas.openxmlformats.org/officeDocument/2006/relationships/hyperlink" Target="https://www.scopus.com/pages/publications/85136240479?origin=resultslist" TargetMode="External"/><Relationship Id="rId158" Type="http://schemas.openxmlformats.org/officeDocument/2006/relationships/hyperlink" Target="https://www.scopus.com/pages/publications/85173124615?origin=resultslist" TargetMode="External"/><Relationship Id="rId157" Type="http://schemas.openxmlformats.org/officeDocument/2006/relationships/hyperlink" Target="https://www.scopus.com/pages/publications/85173124615?origin=resultslist" TargetMode="External"/><Relationship Id="rId156" Type="http://schemas.openxmlformats.org/officeDocument/2006/relationships/hyperlink" Target="https://www.scopus.com/pages/publications/85184350153?origin=resultslist" TargetMode="External"/><Relationship Id="rId155" Type="http://schemas.openxmlformats.org/officeDocument/2006/relationships/hyperlink" Target="https://www.scopus.com/pages/publications/85184350153?origin=resultslist" TargetMode="External"/><Relationship Id="rId107" Type="http://schemas.openxmlformats.org/officeDocument/2006/relationships/hyperlink" Target="https://www.scopus.com/inward/record.uri?eid=2-s2.0-85217175163&amp;doi=10.5220%2F0013061100003825&amp;partnerID=40&amp;md5=520645470d59a4242d2d5cea88bc10bd" TargetMode="External"/><Relationship Id="rId106" Type="http://schemas.openxmlformats.org/officeDocument/2006/relationships/hyperlink" Target="https://www.scopus.com/inward/record.uri?eid=2-s2.0-85217175163&amp;doi=10.5220%2F0013061100003825&amp;partnerID=40&amp;md5=520645470d59a4242d2d5cea88bc10bd" TargetMode="External"/><Relationship Id="rId105" Type="http://schemas.openxmlformats.org/officeDocument/2006/relationships/hyperlink" Target="https://www.scopus.com/inward/record.uri?eid=2-s2.0-85217175163&amp;doi=10.5220%2F0013061100003825&amp;partnerID=40&amp;md5=520645470d59a4242d2d5cea88bc10bd" TargetMode="External"/><Relationship Id="rId104" Type="http://schemas.openxmlformats.org/officeDocument/2006/relationships/hyperlink" Target="https://www.scopus.com/inward/record.uri?eid=2-s2.0-105013617590&amp;doi=10.1109%2FGINOTECH63460.2025.11076655&amp;partnerID=40&amp;md5=aa6736a4b979e385338e2aed13eb71ed" TargetMode="External"/><Relationship Id="rId109" Type="http://schemas.openxmlformats.org/officeDocument/2006/relationships/hyperlink" Target="https://www.scopus.com/inward/record.uri?eid=2-s2.0-85193916094&amp;doi=10.5220%2F0012733600003690&amp;partnerID=40&amp;md5=9644dc76027d025987561acfad1a755e" TargetMode="External"/><Relationship Id="rId108" Type="http://schemas.openxmlformats.org/officeDocument/2006/relationships/hyperlink" Target="https://www.scopus.com/inward/record.uri?eid=2-s2.0-85217175163&amp;doi=10.5220%2F0013061100003825&amp;partnerID=40&amp;md5=520645470d59a4242d2d5cea88bc10bd" TargetMode="External"/><Relationship Id="rId103" Type="http://schemas.openxmlformats.org/officeDocument/2006/relationships/hyperlink" Target="https://www.scopus.com/inward/record.uri?eid=2-s2.0-105013617590&amp;doi=10.1109%2FGINOTECH63460.2025.11076655&amp;partnerID=40&amp;md5=aa6736a4b979e385338e2aed13eb71ed" TargetMode="External"/><Relationship Id="rId102" Type="http://schemas.openxmlformats.org/officeDocument/2006/relationships/hyperlink" Target="https://www.scopus.com/inward/record.uri?eid=2-s2.0-105013617590&amp;doi=10.1109%2FGINOTECH63460.2025.11076655&amp;partnerID=40&amp;md5=aa6736a4b979e385338e2aed13eb71ed" TargetMode="External"/><Relationship Id="rId101" Type="http://schemas.openxmlformats.org/officeDocument/2006/relationships/hyperlink" Target="https://www.scopus.com/inward/record.uri?eid=2-s2.0-105013617590&amp;doi=10.1109%2FGINOTECH63460.2025.11076655&amp;partnerID=40&amp;md5=aa6736a4b979e385338e2aed13eb71ed" TargetMode="External"/><Relationship Id="rId100" Type="http://schemas.openxmlformats.org/officeDocument/2006/relationships/hyperlink" Target="https://www.scopus.com/inward/record.uri?eid=2-s2.0-105001156837&amp;doi=10.1109%2FCCWC62904.2025.10903892&amp;partnerID=40&amp;md5=9301e4e3c82857abbc4e5c731fa1037f" TargetMode="External"/><Relationship Id="rId129" Type="http://schemas.openxmlformats.org/officeDocument/2006/relationships/hyperlink" Target="https://www.scopus.com/inward/record.uri?eid=2-s2.0-85206636978&amp;doi=10.1109%2FICESC60852.2024.10690000&amp;partnerID=40&amp;md5=d26fe48db114c66588713654b2aa89c4" TargetMode="External"/><Relationship Id="rId128" Type="http://schemas.openxmlformats.org/officeDocument/2006/relationships/hyperlink" Target="https://www.scopus.com/inward/record.uri?eid=2-s2.0-85214916197&amp;doi=10.1109%2FDTPI61353.2024.10778715&amp;partnerID=40&amp;md5=888d77246192fd55cfe023e134eea85c" TargetMode="External"/><Relationship Id="rId127" Type="http://schemas.openxmlformats.org/officeDocument/2006/relationships/hyperlink" Target="https://www.scopus.com/inward/record.uri?eid=2-s2.0-85214916197&amp;doi=10.1109%2FDTPI61353.2024.10778715&amp;partnerID=40&amp;md5=888d77246192fd55cfe023e134eea85c" TargetMode="External"/><Relationship Id="rId126" Type="http://schemas.openxmlformats.org/officeDocument/2006/relationships/hyperlink" Target="https://www.scopus.com/inward/record.uri?eid=2-s2.0-85214916197&amp;doi=10.1109%2FDTPI61353.2024.10778715&amp;partnerID=40&amp;md5=888d77246192fd55cfe023e134eea85c" TargetMode="External"/><Relationship Id="rId121" Type="http://schemas.openxmlformats.org/officeDocument/2006/relationships/hyperlink" Target="https://www.scopus.com/inward/record.uri?eid=2-s2.0-85217366816&amp;doi=10.1109%2FNETAPPS63333.2024.10823524&amp;partnerID=40&amp;md5=6c90a86a009688ab6d4182841278a7b6" TargetMode="External"/><Relationship Id="rId120" Type="http://schemas.openxmlformats.org/officeDocument/2006/relationships/hyperlink" Target="https://www.scopus.com/inward/record.uri?eid=2-s2.0-86000001651&amp;doi=10.1109%2FACIT62805.2024.10876926&amp;partnerID=40&amp;md5=5d85117222c28152685da083ae8184f2" TargetMode="External"/><Relationship Id="rId125" Type="http://schemas.openxmlformats.org/officeDocument/2006/relationships/hyperlink" Target="https://www.scopus.com/inward/record.uri?eid=2-s2.0-85214916197&amp;doi=10.1109%2FDTPI61353.2024.10778715&amp;partnerID=40&amp;md5=888d77246192fd55cfe023e134eea85c" TargetMode="External"/><Relationship Id="rId124" Type="http://schemas.openxmlformats.org/officeDocument/2006/relationships/hyperlink" Target="https://www.scopus.com/inward/record.uri?eid=2-s2.0-85217366816&amp;doi=10.1109%2FNETAPPS63333.2024.10823524&amp;partnerID=40&amp;md5=6c90a86a009688ab6d4182841278a7b6" TargetMode="External"/><Relationship Id="rId123" Type="http://schemas.openxmlformats.org/officeDocument/2006/relationships/hyperlink" Target="https://www.scopus.com/inward/record.uri?eid=2-s2.0-85217366816&amp;doi=10.1109%2FNETAPPS63333.2024.10823524&amp;partnerID=40&amp;md5=6c90a86a009688ab6d4182841278a7b6" TargetMode="External"/><Relationship Id="rId122" Type="http://schemas.openxmlformats.org/officeDocument/2006/relationships/hyperlink" Target="https://www.scopus.com/inward/record.uri?eid=2-s2.0-85217366816&amp;doi=10.1109%2FNETAPPS63333.2024.10823524&amp;partnerID=40&amp;md5=6c90a86a009688ab6d4182841278a7b6" TargetMode="External"/><Relationship Id="rId95" Type="http://schemas.openxmlformats.org/officeDocument/2006/relationships/hyperlink" Target="https://www.scopus.com/inward/record.uri?eid=2-s2.0-105010503863&amp;doi=10.5220%2F0013518600003979&amp;partnerID=40&amp;md5=a96e556ba6f69772168553c20be1a5d1" TargetMode="External"/><Relationship Id="rId94" Type="http://schemas.openxmlformats.org/officeDocument/2006/relationships/hyperlink" Target="https://www.scopus.com/inward/record.uri?eid=2-s2.0-105010503863&amp;doi=10.5220%2F0013518600003979&amp;partnerID=40&amp;md5=a96e556ba6f69772168553c20be1a5d1" TargetMode="External"/><Relationship Id="rId97" Type="http://schemas.openxmlformats.org/officeDocument/2006/relationships/hyperlink" Target="https://www.scopus.com/inward/record.uri?eid=2-s2.0-105001156837&amp;doi=10.1109%2FCCWC62904.2025.10903892&amp;partnerID=40&amp;md5=9301e4e3c82857abbc4e5c731fa1037f" TargetMode="External"/><Relationship Id="rId96" Type="http://schemas.openxmlformats.org/officeDocument/2006/relationships/hyperlink" Target="https://www.scopus.com/inward/record.uri?eid=2-s2.0-105010503863&amp;doi=10.5220%2F0013518600003979&amp;partnerID=40&amp;md5=a96e556ba6f69772168553c20be1a5d1" TargetMode="External"/><Relationship Id="rId99" Type="http://schemas.openxmlformats.org/officeDocument/2006/relationships/hyperlink" Target="https://www.scopus.com/inward/record.uri?eid=2-s2.0-105001156837&amp;doi=10.1109%2FCCWC62904.2025.10903892&amp;partnerID=40&amp;md5=9301e4e3c82857abbc4e5c731fa1037f" TargetMode="External"/><Relationship Id="rId98" Type="http://schemas.openxmlformats.org/officeDocument/2006/relationships/hyperlink" Target="https://www.scopus.com/inward/record.uri?eid=2-s2.0-105001156837&amp;doi=10.1109%2FCCWC62904.2025.10903892&amp;partnerID=40&amp;md5=9301e4e3c82857abbc4e5c731fa1037f" TargetMode="External"/><Relationship Id="rId91" Type="http://schemas.openxmlformats.org/officeDocument/2006/relationships/hyperlink" Target="https://www.scopus.com/inward/record.uri?eid=2-s2.0-105011042769&amp;doi=10.1109%2FMDM65600.2025.00043&amp;partnerID=40&amp;md5=398491b9bae17736014015dbd8821455" TargetMode="External"/><Relationship Id="rId90" Type="http://schemas.openxmlformats.org/officeDocument/2006/relationships/hyperlink" Target="https://www.scopus.com/inward/record.uri?eid=2-s2.0-105011042769&amp;doi=10.1109%2FMDM65600.2025.00043&amp;partnerID=40&amp;md5=398491b9bae17736014015dbd8821455" TargetMode="External"/><Relationship Id="rId93" Type="http://schemas.openxmlformats.org/officeDocument/2006/relationships/hyperlink" Target="https://www.scopus.com/inward/record.uri?eid=2-s2.0-105010503863&amp;doi=10.5220%2F0013518600003979&amp;partnerID=40&amp;md5=a96e556ba6f69772168553c20be1a5d1" TargetMode="External"/><Relationship Id="rId92" Type="http://schemas.openxmlformats.org/officeDocument/2006/relationships/hyperlink" Target="https://www.scopus.com/inward/record.uri?eid=2-s2.0-105011042769&amp;doi=10.1109%2FMDM65600.2025.00043&amp;partnerID=40&amp;md5=398491b9bae17736014015dbd8821455" TargetMode="External"/><Relationship Id="rId118" Type="http://schemas.openxmlformats.org/officeDocument/2006/relationships/hyperlink" Target="https://www.scopus.com/inward/record.uri?eid=2-s2.0-86000001651&amp;doi=10.1109%2FACIT62805.2024.10876926&amp;partnerID=40&amp;md5=5d85117222c28152685da083ae8184f2" TargetMode="External"/><Relationship Id="rId117" Type="http://schemas.openxmlformats.org/officeDocument/2006/relationships/hyperlink" Target="https://www.scopus.com/inward/record.uri?eid=2-s2.0-86000001651&amp;doi=10.1109%2FACIT62805.2024.10876926&amp;partnerID=40&amp;md5=5d85117222c28152685da083ae8184f2" TargetMode="External"/><Relationship Id="rId116" Type="http://schemas.openxmlformats.org/officeDocument/2006/relationships/hyperlink" Target="https://www.scopus.com/inward/record.uri?eid=2-s2.0-105002770147&amp;doi=10.56294%2Fmw2024510&amp;partnerID=40&amp;md5=4f233886aa8de453b0a21cf635efa327" TargetMode="External"/><Relationship Id="rId115" Type="http://schemas.openxmlformats.org/officeDocument/2006/relationships/hyperlink" Target="https://www.scopus.com/inward/record.uri?eid=2-s2.0-105002770147&amp;doi=10.56294%2Fmw2024510&amp;partnerID=40&amp;md5=4f233886aa8de453b0a21cf635efa327" TargetMode="External"/><Relationship Id="rId119" Type="http://schemas.openxmlformats.org/officeDocument/2006/relationships/hyperlink" Target="https://www.scopus.com/inward/record.uri?eid=2-s2.0-86000001651&amp;doi=10.1109%2FACIT62805.2024.10876926&amp;partnerID=40&amp;md5=5d85117222c28152685da083ae8184f2" TargetMode="External"/><Relationship Id="rId110" Type="http://schemas.openxmlformats.org/officeDocument/2006/relationships/hyperlink" Target="https://www.scopus.com/inward/record.uri?eid=2-s2.0-85193916094&amp;doi=10.5220%2F0012733600003690&amp;partnerID=40&amp;md5=9644dc76027d025987561acfad1a755e" TargetMode="External"/><Relationship Id="rId114" Type="http://schemas.openxmlformats.org/officeDocument/2006/relationships/hyperlink" Target="https://www.scopus.com/inward/record.uri?eid=2-s2.0-105002770147&amp;doi=10.56294%2Fmw2024510&amp;partnerID=40&amp;md5=4f233886aa8de453b0a21cf635efa327" TargetMode="External"/><Relationship Id="rId113" Type="http://schemas.openxmlformats.org/officeDocument/2006/relationships/hyperlink" Target="https://www.scopus.com/inward/record.uri?eid=2-s2.0-105002770147&amp;doi=10.56294%2Fmw2024510&amp;partnerID=40&amp;md5=4f233886aa8de453b0a21cf635efa327" TargetMode="External"/><Relationship Id="rId112" Type="http://schemas.openxmlformats.org/officeDocument/2006/relationships/hyperlink" Target="https://www.scopus.com/inward/record.uri?eid=2-s2.0-85193916094&amp;doi=10.5220%2F0012733600003690&amp;partnerID=40&amp;md5=9644dc76027d025987561acfad1a755e" TargetMode="External"/><Relationship Id="rId111" Type="http://schemas.openxmlformats.org/officeDocument/2006/relationships/hyperlink" Target="https://www.scopus.com/inward/record.uri?eid=2-s2.0-85193916094&amp;doi=10.5220%2F0012733600003690&amp;partnerID=40&amp;md5=9644dc76027d025987561acfad1a755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3.63"/>
    <col customWidth="1" min="3" max="3" width="30.0"/>
    <col customWidth="1" min="4" max="4" width="24.88"/>
    <col customWidth="1" min="5" max="5" width="15.38"/>
    <col customWidth="1" min="6" max="6" width="6.0"/>
    <col customWidth="1" min="7" max="7" width="11.25"/>
    <col customWidth="1" min="8" max="8" width="10.38"/>
    <col customWidth="1" min="9" max="10" width="13.0"/>
    <col customWidth="1" min="11" max="11" width="28.75"/>
    <col customWidth="1" min="12" max="12" width="27.13"/>
    <col customWidth="1" min="13" max="13" width="25.38"/>
  </cols>
  <sheetData>
    <row r="1">
      <c r="A1" s="1" t="s">
        <v>0</v>
      </c>
      <c r="D1" s="1"/>
      <c r="E1" s="1"/>
      <c r="F1" s="1"/>
      <c r="G1" s="1"/>
      <c r="H1" s="1"/>
      <c r="I1" s="1"/>
      <c r="J1" s="2"/>
      <c r="K1" s="2"/>
      <c r="L1" s="2"/>
      <c r="M1" s="2"/>
      <c r="N1" s="2"/>
      <c r="O1" s="2"/>
      <c r="P1" s="2"/>
      <c r="Q1" s="2"/>
    </row>
    <row r="2">
      <c r="A2" s="1" t="s">
        <v>1</v>
      </c>
      <c r="D2" s="1"/>
      <c r="E2" s="1"/>
      <c r="F2" s="1"/>
      <c r="G2" s="1"/>
      <c r="H2" s="1"/>
      <c r="I2" s="1"/>
      <c r="J2" s="2"/>
      <c r="K2" s="2"/>
      <c r="L2" s="2"/>
      <c r="M2" s="2"/>
      <c r="N2" s="2"/>
      <c r="O2" s="2"/>
      <c r="P2" s="2"/>
      <c r="Q2" s="2"/>
    </row>
    <row r="3" ht="45.75" customHeight="1">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row>
    <row r="4">
      <c r="A4" s="4">
        <v>2.0</v>
      </c>
      <c r="B4" s="5"/>
      <c r="C4" s="5" t="s">
        <v>19</v>
      </c>
      <c r="D4" s="6" t="s">
        <v>20</v>
      </c>
      <c r="E4" s="7" t="s">
        <v>21</v>
      </c>
      <c r="F4" s="8">
        <v>2024.0</v>
      </c>
      <c r="G4" s="9" t="s">
        <v>22</v>
      </c>
      <c r="I4" s="9" t="s">
        <v>23</v>
      </c>
      <c r="J4" s="6" t="s">
        <v>24</v>
      </c>
      <c r="K4" s="10" t="s">
        <v>25</v>
      </c>
      <c r="L4" s="11" t="s">
        <v>25</v>
      </c>
      <c r="N4" s="12"/>
      <c r="O4" s="12"/>
      <c r="P4" s="12" t="str">
        <f t="shared" ref="P4:P1137" si="1">IF(OR(N4="",O4=""),"",IF(N4=O4,"Igual","Diferente"))</f>
        <v/>
      </c>
    </row>
    <row r="5">
      <c r="A5" s="4">
        <v>2.0</v>
      </c>
      <c r="B5" s="5"/>
      <c r="C5" s="5" t="s">
        <v>19</v>
      </c>
      <c r="D5" s="6" t="s">
        <v>20</v>
      </c>
      <c r="E5" s="7" t="s">
        <v>21</v>
      </c>
      <c r="F5" s="8">
        <v>2024.0</v>
      </c>
      <c r="G5" s="9" t="s">
        <v>22</v>
      </c>
      <c r="I5" s="9" t="s">
        <v>23</v>
      </c>
      <c r="J5" s="6" t="s">
        <v>26</v>
      </c>
      <c r="K5" s="10" t="s">
        <v>25</v>
      </c>
      <c r="L5" s="11" t="s">
        <v>25</v>
      </c>
      <c r="N5" s="12"/>
      <c r="O5" s="12"/>
      <c r="P5" s="12" t="str">
        <f t="shared" si="1"/>
        <v/>
      </c>
    </row>
    <row r="6">
      <c r="A6" s="4">
        <v>2.0</v>
      </c>
      <c r="B6" s="5"/>
      <c r="C6" s="5" t="s">
        <v>19</v>
      </c>
      <c r="D6" s="6" t="s">
        <v>20</v>
      </c>
      <c r="E6" s="7" t="s">
        <v>21</v>
      </c>
      <c r="F6" s="8">
        <v>2024.0</v>
      </c>
      <c r="G6" s="9" t="s">
        <v>22</v>
      </c>
      <c r="I6" s="9" t="s">
        <v>23</v>
      </c>
      <c r="J6" s="6" t="s">
        <v>27</v>
      </c>
      <c r="K6" s="10" t="s">
        <v>25</v>
      </c>
      <c r="L6" s="11" t="s">
        <v>25</v>
      </c>
      <c r="N6" s="12"/>
      <c r="O6" s="12"/>
      <c r="P6" s="12" t="str">
        <f t="shared" si="1"/>
        <v/>
      </c>
    </row>
    <row r="7">
      <c r="A7" s="4">
        <v>2.0</v>
      </c>
      <c r="B7" s="5"/>
      <c r="C7" s="5" t="s">
        <v>19</v>
      </c>
      <c r="D7" s="6" t="s">
        <v>20</v>
      </c>
      <c r="E7" s="7" t="s">
        <v>21</v>
      </c>
      <c r="F7" s="8">
        <v>2024.0</v>
      </c>
      <c r="G7" s="9" t="s">
        <v>22</v>
      </c>
      <c r="I7" s="9" t="s">
        <v>23</v>
      </c>
      <c r="J7" s="6" t="s">
        <v>28</v>
      </c>
      <c r="K7" s="10" t="s">
        <v>25</v>
      </c>
      <c r="L7" s="11" t="s">
        <v>25</v>
      </c>
      <c r="N7" s="12"/>
      <c r="O7" s="12"/>
      <c r="P7" s="12" t="str">
        <f t="shared" si="1"/>
        <v/>
      </c>
    </row>
    <row r="8">
      <c r="A8" s="8">
        <v>7.0</v>
      </c>
      <c r="B8" s="6" t="s">
        <v>29</v>
      </c>
      <c r="C8" s="6" t="s">
        <v>30</v>
      </c>
      <c r="D8" s="6" t="s">
        <v>31</v>
      </c>
      <c r="E8" s="7" t="s">
        <v>32</v>
      </c>
      <c r="F8" s="8">
        <v>2025.0</v>
      </c>
      <c r="G8" s="9" t="s">
        <v>33</v>
      </c>
      <c r="H8" s="6" t="s">
        <v>30</v>
      </c>
      <c r="I8" s="9" t="s">
        <v>34</v>
      </c>
      <c r="J8" s="6" t="s">
        <v>24</v>
      </c>
      <c r="K8" s="13" t="s">
        <v>35</v>
      </c>
      <c r="L8" s="14" t="s">
        <v>36</v>
      </c>
      <c r="M8" s="6" t="s">
        <v>37</v>
      </c>
      <c r="N8" s="6" t="s">
        <v>38</v>
      </c>
      <c r="O8" s="6" t="s">
        <v>38</v>
      </c>
      <c r="P8" s="12" t="str">
        <f t="shared" si="1"/>
        <v>Igual</v>
      </c>
    </row>
    <row r="9">
      <c r="A9" s="8">
        <v>7.0</v>
      </c>
      <c r="B9" s="6" t="s">
        <v>29</v>
      </c>
      <c r="C9" s="6" t="s">
        <v>30</v>
      </c>
      <c r="D9" s="6" t="s">
        <v>31</v>
      </c>
      <c r="E9" s="7" t="s">
        <v>32</v>
      </c>
      <c r="F9" s="8">
        <v>2025.0</v>
      </c>
      <c r="G9" s="9" t="s">
        <v>33</v>
      </c>
      <c r="H9" s="6" t="s">
        <v>30</v>
      </c>
      <c r="I9" s="9" t="s">
        <v>34</v>
      </c>
      <c r="J9" s="6" t="s">
        <v>26</v>
      </c>
      <c r="K9" s="13" t="s">
        <v>39</v>
      </c>
      <c r="L9" s="14" t="s">
        <v>40</v>
      </c>
      <c r="M9" s="6" t="s">
        <v>41</v>
      </c>
      <c r="N9" s="6" t="s">
        <v>38</v>
      </c>
      <c r="O9" s="6" t="s">
        <v>38</v>
      </c>
      <c r="P9" s="12" t="str">
        <f t="shared" si="1"/>
        <v>Igual</v>
      </c>
    </row>
    <row r="10">
      <c r="A10" s="8">
        <v>7.0</v>
      </c>
      <c r="B10" s="6" t="s">
        <v>29</v>
      </c>
      <c r="C10" s="6" t="s">
        <v>30</v>
      </c>
      <c r="D10" s="6" t="s">
        <v>31</v>
      </c>
      <c r="E10" s="7" t="s">
        <v>32</v>
      </c>
      <c r="F10" s="8">
        <v>2025.0</v>
      </c>
      <c r="G10" s="9" t="s">
        <v>33</v>
      </c>
      <c r="H10" s="6" t="s">
        <v>30</v>
      </c>
      <c r="I10" s="9" t="s">
        <v>34</v>
      </c>
      <c r="J10" s="6" t="s">
        <v>27</v>
      </c>
      <c r="K10" s="13" t="s">
        <v>42</v>
      </c>
      <c r="L10" s="14" t="s">
        <v>43</v>
      </c>
      <c r="M10" s="6" t="s">
        <v>44</v>
      </c>
      <c r="N10" s="6" t="s">
        <v>38</v>
      </c>
      <c r="O10" s="6" t="s">
        <v>38</v>
      </c>
      <c r="P10" s="12" t="str">
        <f t="shared" si="1"/>
        <v>Igual</v>
      </c>
    </row>
    <row r="11">
      <c r="A11" s="8">
        <v>7.0</v>
      </c>
      <c r="B11" s="6" t="s">
        <v>29</v>
      </c>
      <c r="C11" s="6" t="s">
        <v>30</v>
      </c>
      <c r="D11" s="6" t="s">
        <v>31</v>
      </c>
      <c r="E11" s="7" t="s">
        <v>32</v>
      </c>
      <c r="F11" s="8">
        <v>2025.0</v>
      </c>
      <c r="G11" s="9" t="s">
        <v>33</v>
      </c>
      <c r="H11" s="6" t="s">
        <v>30</v>
      </c>
      <c r="I11" s="9" t="s">
        <v>34</v>
      </c>
      <c r="J11" s="6" t="s">
        <v>28</v>
      </c>
      <c r="K11" s="13" t="s">
        <v>45</v>
      </c>
      <c r="L11" s="14" t="s">
        <v>46</v>
      </c>
      <c r="M11" s="6" t="s">
        <v>47</v>
      </c>
      <c r="N11" s="6" t="s">
        <v>38</v>
      </c>
      <c r="O11" s="6" t="s">
        <v>38</v>
      </c>
      <c r="P11" s="12" t="str">
        <f t="shared" si="1"/>
        <v>Igual</v>
      </c>
    </row>
    <row r="12">
      <c r="A12" s="8">
        <v>9.0</v>
      </c>
      <c r="B12" s="6" t="s">
        <v>29</v>
      </c>
      <c r="C12" s="6" t="s">
        <v>48</v>
      </c>
      <c r="D12" s="6" t="s">
        <v>49</v>
      </c>
      <c r="E12" s="7" t="s">
        <v>50</v>
      </c>
      <c r="F12" s="8">
        <v>2022.0</v>
      </c>
      <c r="G12" s="9" t="s">
        <v>51</v>
      </c>
      <c r="H12" s="6" t="s">
        <v>48</v>
      </c>
      <c r="I12" s="9" t="s">
        <v>34</v>
      </c>
      <c r="J12" s="6" t="s">
        <v>24</v>
      </c>
      <c r="K12" s="6" t="s">
        <v>52</v>
      </c>
      <c r="L12" s="14" t="s">
        <v>53</v>
      </c>
      <c r="M12" s="6" t="s">
        <v>54</v>
      </c>
      <c r="N12" s="6" t="s">
        <v>38</v>
      </c>
      <c r="O12" s="6" t="s">
        <v>38</v>
      </c>
      <c r="P12" s="12" t="str">
        <f t="shared" si="1"/>
        <v>Igual</v>
      </c>
    </row>
    <row r="13">
      <c r="A13" s="8">
        <v>9.0</v>
      </c>
      <c r="B13" s="6" t="s">
        <v>29</v>
      </c>
      <c r="C13" s="6" t="s">
        <v>48</v>
      </c>
      <c r="D13" s="6" t="s">
        <v>49</v>
      </c>
      <c r="E13" s="7" t="s">
        <v>50</v>
      </c>
      <c r="F13" s="8">
        <v>2022.0</v>
      </c>
      <c r="G13" s="9" t="s">
        <v>51</v>
      </c>
      <c r="H13" s="6" t="s">
        <v>48</v>
      </c>
      <c r="I13" s="9" t="s">
        <v>34</v>
      </c>
      <c r="J13" s="6" t="s">
        <v>26</v>
      </c>
      <c r="K13" s="6" t="s">
        <v>55</v>
      </c>
      <c r="L13" s="14" t="s">
        <v>56</v>
      </c>
      <c r="M13" s="6" t="s">
        <v>57</v>
      </c>
      <c r="N13" s="6" t="s">
        <v>38</v>
      </c>
      <c r="O13" s="6" t="s">
        <v>38</v>
      </c>
      <c r="P13" s="12" t="str">
        <f t="shared" si="1"/>
        <v>Igual</v>
      </c>
    </row>
    <row r="14">
      <c r="A14" s="8">
        <v>9.0</v>
      </c>
      <c r="B14" s="6" t="s">
        <v>29</v>
      </c>
      <c r="C14" s="6" t="s">
        <v>48</v>
      </c>
      <c r="D14" s="6" t="s">
        <v>49</v>
      </c>
      <c r="E14" s="7" t="s">
        <v>50</v>
      </c>
      <c r="F14" s="8">
        <v>2022.0</v>
      </c>
      <c r="G14" s="9" t="s">
        <v>51</v>
      </c>
      <c r="H14" s="6" t="s">
        <v>48</v>
      </c>
      <c r="I14" s="9" t="s">
        <v>34</v>
      </c>
      <c r="J14" s="6" t="s">
        <v>27</v>
      </c>
      <c r="K14" s="6" t="s">
        <v>58</v>
      </c>
      <c r="L14" s="14" t="s">
        <v>59</v>
      </c>
      <c r="M14" s="6" t="s">
        <v>60</v>
      </c>
      <c r="N14" s="6" t="s">
        <v>38</v>
      </c>
      <c r="O14" s="6" t="s">
        <v>38</v>
      </c>
      <c r="P14" s="12" t="str">
        <f t="shared" si="1"/>
        <v>Igual</v>
      </c>
    </row>
    <row r="15">
      <c r="A15" s="8">
        <v>9.0</v>
      </c>
      <c r="B15" s="6" t="s">
        <v>29</v>
      </c>
      <c r="C15" s="6" t="s">
        <v>48</v>
      </c>
      <c r="D15" s="6" t="s">
        <v>49</v>
      </c>
      <c r="E15" s="7" t="s">
        <v>50</v>
      </c>
      <c r="F15" s="8">
        <v>2022.0</v>
      </c>
      <c r="G15" s="9" t="s">
        <v>51</v>
      </c>
      <c r="H15" s="6" t="s">
        <v>48</v>
      </c>
      <c r="I15" s="9" t="s">
        <v>34</v>
      </c>
      <c r="J15" s="6" t="s">
        <v>28</v>
      </c>
      <c r="K15" s="6" t="s">
        <v>61</v>
      </c>
      <c r="L15" s="14" t="s">
        <v>62</v>
      </c>
      <c r="M15" s="6" t="s">
        <v>63</v>
      </c>
      <c r="N15" s="6" t="s">
        <v>38</v>
      </c>
      <c r="O15" s="6" t="s">
        <v>38</v>
      </c>
      <c r="P15" s="12" t="str">
        <f t="shared" si="1"/>
        <v>Igual</v>
      </c>
    </row>
    <row r="16">
      <c r="A16" s="8">
        <v>11.0</v>
      </c>
      <c r="B16" s="6" t="s">
        <v>29</v>
      </c>
      <c r="C16" s="6" t="s">
        <v>64</v>
      </c>
      <c r="D16" s="6" t="s">
        <v>65</v>
      </c>
      <c r="E16" s="7" t="s">
        <v>66</v>
      </c>
      <c r="F16" s="8">
        <v>2021.0</v>
      </c>
      <c r="G16" s="9" t="s">
        <v>67</v>
      </c>
      <c r="H16" s="6" t="s">
        <v>64</v>
      </c>
      <c r="I16" s="9" t="s">
        <v>68</v>
      </c>
      <c r="J16" s="6" t="s">
        <v>24</v>
      </c>
      <c r="K16" s="6" t="s">
        <v>69</v>
      </c>
      <c r="L16" s="14" t="s">
        <v>70</v>
      </c>
      <c r="M16" s="6" t="s">
        <v>71</v>
      </c>
      <c r="N16" s="6" t="s">
        <v>38</v>
      </c>
      <c r="O16" s="6" t="s">
        <v>38</v>
      </c>
      <c r="P16" s="12" t="str">
        <f t="shared" si="1"/>
        <v>Igual</v>
      </c>
    </row>
    <row r="17">
      <c r="A17" s="8">
        <v>11.0</v>
      </c>
      <c r="B17" s="6" t="s">
        <v>29</v>
      </c>
      <c r="C17" s="6" t="s">
        <v>64</v>
      </c>
      <c r="D17" s="6" t="s">
        <v>65</v>
      </c>
      <c r="E17" s="7" t="s">
        <v>66</v>
      </c>
      <c r="F17" s="8">
        <v>2021.0</v>
      </c>
      <c r="G17" s="9" t="s">
        <v>67</v>
      </c>
      <c r="H17" s="6" t="s">
        <v>64</v>
      </c>
      <c r="I17" s="9" t="s">
        <v>68</v>
      </c>
      <c r="J17" s="6" t="s">
        <v>26</v>
      </c>
      <c r="K17" s="6" t="s">
        <v>72</v>
      </c>
      <c r="L17" s="14" t="s">
        <v>73</v>
      </c>
      <c r="M17" s="6" t="s">
        <v>74</v>
      </c>
      <c r="N17" s="6" t="s">
        <v>75</v>
      </c>
      <c r="O17" s="6" t="s">
        <v>38</v>
      </c>
      <c r="P17" s="12" t="str">
        <f t="shared" si="1"/>
        <v>Diferente</v>
      </c>
      <c r="Q17" s="6" t="s">
        <v>76</v>
      </c>
    </row>
    <row r="18">
      <c r="A18" s="8">
        <v>11.0</v>
      </c>
      <c r="B18" s="6" t="s">
        <v>29</v>
      </c>
      <c r="C18" s="6" t="s">
        <v>64</v>
      </c>
      <c r="D18" s="6" t="s">
        <v>65</v>
      </c>
      <c r="E18" s="7" t="s">
        <v>66</v>
      </c>
      <c r="F18" s="8">
        <v>2021.0</v>
      </c>
      <c r="G18" s="9" t="s">
        <v>67</v>
      </c>
      <c r="H18" s="6" t="s">
        <v>64</v>
      </c>
      <c r="I18" s="9" t="s">
        <v>68</v>
      </c>
      <c r="J18" s="6" t="s">
        <v>27</v>
      </c>
      <c r="K18" s="6" t="s">
        <v>77</v>
      </c>
      <c r="L18" s="14" t="s">
        <v>78</v>
      </c>
      <c r="M18" s="6" t="s">
        <v>79</v>
      </c>
      <c r="N18" s="6" t="s">
        <v>75</v>
      </c>
      <c r="O18" s="6" t="s">
        <v>38</v>
      </c>
      <c r="P18" s="12" t="str">
        <f t="shared" si="1"/>
        <v>Diferente</v>
      </c>
      <c r="Q18" s="6" t="s">
        <v>80</v>
      </c>
    </row>
    <row r="19">
      <c r="A19" s="8">
        <v>11.0</v>
      </c>
      <c r="B19" s="6" t="s">
        <v>29</v>
      </c>
      <c r="C19" s="6" t="s">
        <v>64</v>
      </c>
      <c r="D19" s="6" t="s">
        <v>65</v>
      </c>
      <c r="E19" s="7" t="s">
        <v>66</v>
      </c>
      <c r="F19" s="8">
        <v>2021.0</v>
      </c>
      <c r="G19" s="9" t="s">
        <v>67</v>
      </c>
      <c r="H19" s="6" t="s">
        <v>64</v>
      </c>
      <c r="I19" s="9" t="s">
        <v>68</v>
      </c>
      <c r="J19" s="6" t="s">
        <v>28</v>
      </c>
      <c r="K19" s="6" t="s">
        <v>81</v>
      </c>
      <c r="L19" s="14" t="s">
        <v>82</v>
      </c>
      <c r="M19" s="6" t="s">
        <v>83</v>
      </c>
      <c r="N19" s="6" t="s">
        <v>38</v>
      </c>
      <c r="O19" s="6" t="s">
        <v>38</v>
      </c>
      <c r="P19" s="12" t="str">
        <f t="shared" si="1"/>
        <v>Igual</v>
      </c>
    </row>
    <row r="20">
      <c r="A20" s="8">
        <v>12.0</v>
      </c>
      <c r="B20" s="6" t="s">
        <v>29</v>
      </c>
      <c r="C20" s="6" t="s">
        <v>84</v>
      </c>
      <c r="D20" s="6" t="s">
        <v>85</v>
      </c>
      <c r="E20" s="7" t="s">
        <v>86</v>
      </c>
      <c r="F20" s="8">
        <v>2023.0</v>
      </c>
      <c r="G20" s="9" t="s">
        <v>87</v>
      </c>
      <c r="H20" s="6" t="s">
        <v>84</v>
      </c>
      <c r="I20" s="9" t="s">
        <v>68</v>
      </c>
      <c r="J20" s="6" t="s">
        <v>24</v>
      </c>
      <c r="K20" s="6" t="s">
        <v>88</v>
      </c>
      <c r="L20" s="14" t="s">
        <v>89</v>
      </c>
      <c r="M20" s="6" t="s">
        <v>90</v>
      </c>
      <c r="N20" s="6" t="s">
        <v>38</v>
      </c>
      <c r="O20" s="6" t="s">
        <v>38</v>
      </c>
      <c r="P20" s="12" t="str">
        <f t="shared" si="1"/>
        <v>Igual</v>
      </c>
    </row>
    <row r="21">
      <c r="A21" s="8">
        <v>12.0</v>
      </c>
      <c r="B21" s="6" t="s">
        <v>29</v>
      </c>
      <c r="C21" s="6" t="s">
        <v>84</v>
      </c>
      <c r="D21" s="6" t="s">
        <v>85</v>
      </c>
      <c r="E21" s="7" t="s">
        <v>86</v>
      </c>
      <c r="F21" s="8">
        <v>2023.0</v>
      </c>
      <c r="G21" s="9" t="s">
        <v>87</v>
      </c>
      <c r="H21" s="6" t="s">
        <v>84</v>
      </c>
      <c r="I21" s="9" t="s">
        <v>68</v>
      </c>
      <c r="J21" s="6" t="s">
        <v>26</v>
      </c>
      <c r="K21" s="6" t="s">
        <v>91</v>
      </c>
      <c r="L21" s="14" t="s">
        <v>92</v>
      </c>
      <c r="M21" s="6" t="s">
        <v>93</v>
      </c>
      <c r="N21" s="6" t="s">
        <v>38</v>
      </c>
      <c r="O21" s="6" t="s">
        <v>38</v>
      </c>
      <c r="P21" s="12" t="str">
        <f t="shared" si="1"/>
        <v>Igual</v>
      </c>
    </row>
    <row r="22">
      <c r="A22" s="8">
        <v>12.0</v>
      </c>
      <c r="B22" s="6" t="s">
        <v>29</v>
      </c>
      <c r="C22" s="6" t="s">
        <v>84</v>
      </c>
      <c r="D22" s="6" t="s">
        <v>85</v>
      </c>
      <c r="E22" s="7" t="s">
        <v>86</v>
      </c>
      <c r="F22" s="8">
        <v>2023.0</v>
      </c>
      <c r="G22" s="9" t="s">
        <v>87</v>
      </c>
      <c r="H22" s="6" t="s">
        <v>84</v>
      </c>
      <c r="I22" s="9" t="s">
        <v>68</v>
      </c>
      <c r="J22" s="6" t="s">
        <v>27</v>
      </c>
      <c r="K22" s="6" t="s">
        <v>94</v>
      </c>
      <c r="L22" s="14" t="s">
        <v>95</v>
      </c>
      <c r="M22" s="6" t="s">
        <v>96</v>
      </c>
      <c r="N22" s="6" t="s">
        <v>38</v>
      </c>
      <c r="O22" s="6" t="s">
        <v>38</v>
      </c>
      <c r="P22" s="12" t="str">
        <f t="shared" si="1"/>
        <v>Igual</v>
      </c>
    </row>
    <row r="23">
      <c r="A23" s="8">
        <v>12.0</v>
      </c>
      <c r="B23" s="6" t="s">
        <v>29</v>
      </c>
      <c r="C23" s="6" t="s">
        <v>84</v>
      </c>
      <c r="D23" s="6" t="s">
        <v>85</v>
      </c>
      <c r="E23" s="7" t="s">
        <v>86</v>
      </c>
      <c r="F23" s="8">
        <v>2023.0</v>
      </c>
      <c r="G23" s="9" t="s">
        <v>87</v>
      </c>
      <c r="H23" s="6" t="s">
        <v>84</v>
      </c>
      <c r="I23" s="9" t="s">
        <v>68</v>
      </c>
      <c r="J23" s="6" t="s">
        <v>28</v>
      </c>
      <c r="K23" s="6" t="s">
        <v>97</v>
      </c>
      <c r="L23" s="14" t="s">
        <v>98</v>
      </c>
      <c r="M23" s="6" t="s">
        <v>99</v>
      </c>
      <c r="N23" s="6" t="s">
        <v>38</v>
      </c>
      <c r="O23" s="6" t="s">
        <v>38</v>
      </c>
      <c r="P23" s="12" t="str">
        <f t="shared" si="1"/>
        <v>Igual</v>
      </c>
    </row>
    <row r="24">
      <c r="A24" s="4">
        <v>13.0</v>
      </c>
      <c r="B24" s="6" t="s">
        <v>100</v>
      </c>
      <c r="C24" s="6" t="s">
        <v>84</v>
      </c>
      <c r="D24" s="6" t="s">
        <v>101</v>
      </c>
      <c r="E24" s="7" t="s">
        <v>102</v>
      </c>
      <c r="F24" s="8">
        <v>2025.0</v>
      </c>
      <c r="G24" s="9" t="s">
        <v>103</v>
      </c>
      <c r="H24" s="6" t="s">
        <v>84</v>
      </c>
      <c r="I24" s="9" t="s">
        <v>68</v>
      </c>
      <c r="J24" s="6" t="s">
        <v>24</v>
      </c>
      <c r="K24" s="13" t="s">
        <v>104</v>
      </c>
      <c r="L24" s="14" t="s">
        <v>105</v>
      </c>
      <c r="M24" s="6" t="s">
        <v>106</v>
      </c>
      <c r="N24" s="6" t="s">
        <v>38</v>
      </c>
      <c r="O24" s="6" t="s">
        <v>38</v>
      </c>
      <c r="P24" s="12" t="str">
        <f t="shared" si="1"/>
        <v>Igual</v>
      </c>
    </row>
    <row r="25">
      <c r="A25" s="4">
        <v>13.0</v>
      </c>
      <c r="B25" s="6" t="s">
        <v>100</v>
      </c>
      <c r="C25" s="6" t="s">
        <v>84</v>
      </c>
      <c r="D25" s="6" t="s">
        <v>101</v>
      </c>
      <c r="E25" s="7" t="s">
        <v>102</v>
      </c>
      <c r="F25" s="8">
        <v>2025.0</v>
      </c>
      <c r="G25" s="9" t="s">
        <v>103</v>
      </c>
      <c r="H25" s="6" t="s">
        <v>84</v>
      </c>
      <c r="I25" s="9" t="s">
        <v>68</v>
      </c>
      <c r="J25" s="6" t="s">
        <v>26</v>
      </c>
      <c r="K25" s="13" t="s">
        <v>107</v>
      </c>
      <c r="L25" s="14" t="s">
        <v>108</v>
      </c>
      <c r="M25" s="6" t="s">
        <v>109</v>
      </c>
      <c r="N25" s="6" t="s">
        <v>38</v>
      </c>
      <c r="O25" s="6" t="s">
        <v>38</v>
      </c>
      <c r="P25" s="12" t="str">
        <f t="shared" si="1"/>
        <v>Igual</v>
      </c>
    </row>
    <row r="26">
      <c r="A26" s="4">
        <v>13.0</v>
      </c>
      <c r="B26" s="6" t="s">
        <v>100</v>
      </c>
      <c r="C26" s="6" t="s">
        <v>84</v>
      </c>
      <c r="D26" s="6" t="s">
        <v>101</v>
      </c>
      <c r="E26" s="7" t="s">
        <v>102</v>
      </c>
      <c r="F26" s="8">
        <v>2025.0</v>
      </c>
      <c r="G26" s="9" t="s">
        <v>103</v>
      </c>
      <c r="H26" s="6" t="s">
        <v>84</v>
      </c>
      <c r="I26" s="9" t="s">
        <v>68</v>
      </c>
      <c r="J26" s="6" t="s">
        <v>27</v>
      </c>
      <c r="K26" s="13" t="s">
        <v>110</v>
      </c>
      <c r="L26" s="14" t="s">
        <v>111</v>
      </c>
      <c r="M26" s="6" t="s">
        <v>112</v>
      </c>
      <c r="N26" s="6" t="s">
        <v>38</v>
      </c>
      <c r="O26" s="6" t="s">
        <v>38</v>
      </c>
      <c r="P26" s="12" t="str">
        <f t="shared" si="1"/>
        <v>Igual</v>
      </c>
    </row>
    <row r="27">
      <c r="A27" s="4">
        <v>13.0</v>
      </c>
      <c r="B27" s="6" t="s">
        <v>100</v>
      </c>
      <c r="C27" s="6" t="s">
        <v>84</v>
      </c>
      <c r="D27" s="6" t="s">
        <v>101</v>
      </c>
      <c r="E27" s="7" t="s">
        <v>102</v>
      </c>
      <c r="F27" s="8">
        <v>2025.0</v>
      </c>
      <c r="G27" s="9" t="s">
        <v>103</v>
      </c>
      <c r="H27" s="6" t="s">
        <v>84</v>
      </c>
      <c r="I27" s="9" t="s">
        <v>68</v>
      </c>
      <c r="J27" s="6" t="s">
        <v>28</v>
      </c>
      <c r="K27" s="13" t="s">
        <v>113</v>
      </c>
      <c r="L27" s="14" t="s">
        <v>114</v>
      </c>
      <c r="M27" s="6" t="s">
        <v>115</v>
      </c>
      <c r="N27" s="6" t="s">
        <v>38</v>
      </c>
      <c r="O27" s="6" t="s">
        <v>38</v>
      </c>
      <c r="P27" s="12" t="str">
        <f t="shared" si="1"/>
        <v>Igual</v>
      </c>
    </row>
    <row r="28">
      <c r="A28" s="8">
        <v>14.0</v>
      </c>
      <c r="B28" s="6" t="s">
        <v>100</v>
      </c>
      <c r="C28" s="6" t="s">
        <v>116</v>
      </c>
      <c r="D28" s="6" t="s">
        <v>117</v>
      </c>
      <c r="E28" s="7" t="s">
        <v>118</v>
      </c>
      <c r="F28" s="8">
        <v>2025.0</v>
      </c>
      <c r="G28" s="9" t="s">
        <v>119</v>
      </c>
      <c r="H28" s="6" t="s">
        <v>116</v>
      </c>
      <c r="I28" s="9" t="s">
        <v>68</v>
      </c>
      <c r="J28" s="6" t="s">
        <v>24</v>
      </c>
      <c r="K28" s="13" t="s">
        <v>120</v>
      </c>
      <c r="L28" s="14" t="s">
        <v>121</v>
      </c>
      <c r="M28" s="6" t="s">
        <v>122</v>
      </c>
      <c r="N28" s="6" t="s">
        <v>38</v>
      </c>
      <c r="O28" s="6" t="s">
        <v>38</v>
      </c>
      <c r="P28" s="12" t="str">
        <f t="shared" si="1"/>
        <v>Igual</v>
      </c>
    </row>
    <row r="29">
      <c r="A29" s="8">
        <v>14.0</v>
      </c>
      <c r="B29" s="6" t="s">
        <v>100</v>
      </c>
      <c r="C29" s="6" t="s">
        <v>116</v>
      </c>
      <c r="D29" s="6" t="s">
        <v>117</v>
      </c>
      <c r="E29" s="7" t="s">
        <v>118</v>
      </c>
      <c r="F29" s="8">
        <v>2025.0</v>
      </c>
      <c r="G29" s="9" t="s">
        <v>119</v>
      </c>
      <c r="H29" s="6" t="s">
        <v>116</v>
      </c>
      <c r="I29" s="9" t="s">
        <v>68</v>
      </c>
      <c r="J29" s="6" t="s">
        <v>26</v>
      </c>
      <c r="K29" s="13" t="s">
        <v>123</v>
      </c>
      <c r="L29" s="14" t="s">
        <v>124</v>
      </c>
      <c r="M29" s="6" t="s">
        <v>125</v>
      </c>
      <c r="N29" s="6" t="s">
        <v>38</v>
      </c>
      <c r="O29" s="6" t="s">
        <v>38</v>
      </c>
      <c r="P29" s="12" t="str">
        <f t="shared" si="1"/>
        <v>Igual</v>
      </c>
    </row>
    <row r="30">
      <c r="A30" s="8">
        <v>14.0</v>
      </c>
      <c r="B30" s="6" t="s">
        <v>100</v>
      </c>
      <c r="C30" s="6" t="s">
        <v>116</v>
      </c>
      <c r="D30" s="6" t="s">
        <v>117</v>
      </c>
      <c r="E30" s="7" t="s">
        <v>118</v>
      </c>
      <c r="F30" s="8">
        <v>2025.0</v>
      </c>
      <c r="G30" s="9" t="s">
        <v>119</v>
      </c>
      <c r="H30" s="6" t="s">
        <v>116</v>
      </c>
      <c r="I30" s="9" t="s">
        <v>68</v>
      </c>
      <c r="J30" s="6" t="s">
        <v>27</v>
      </c>
      <c r="K30" s="13" t="s">
        <v>126</v>
      </c>
      <c r="L30" s="14" t="s">
        <v>127</v>
      </c>
      <c r="M30" s="6" t="s">
        <v>128</v>
      </c>
      <c r="N30" s="6" t="s">
        <v>38</v>
      </c>
      <c r="O30" s="6" t="s">
        <v>38</v>
      </c>
      <c r="P30" s="12" t="str">
        <f t="shared" si="1"/>
        <v>Igual</v>
      </c>
    </row>
    <row r="31">
      <c r="A31" s="8">
        <v>14.0</v>
      </c>
      <c r="B31" s="6" t="s">
        <v>100</v>
      </c>
      <c r="C31" s="6" t="s">
        <v>116</v>
      </c>
      <c r="D31" s="6" t="s">
        <v>117</v>
      </c>
      <c r="E31" s="7" t="s">
        <v>118</v>
      </c>
      <c r="F31" s="8">
        <v>2025.0</v>
      </c>
      <c r="G31" s="9" t="s">
        <v>119</v>
      </c>
      <c r="H31" s="6" t="s">
        <v>116</v>
      </c>
      <c r="I31" s="9" t="s">
        <v>68</v>
      </c>
      <c r="J31" s="6" t="s">
        <v>28</v>
      </c>
      <c r="K31" s="13" t="s">
        <v>129</v>
      </c>
      <c r="L31" s="14" t="s">
        <v>130</v>
      </c>
      <c r="M31" s="6" t="s">
        <v>131</v>
      </c>
      <c r="N31" s="6" t="s">
        <v>38</v>
      </c>
      <c r="O31" s="6" t="s">
        <v>38</v>
      </c>
      <c r="P31" s="12" t="str">
        <f t="shared" si="1"/>
        <v>Igual</v>
      </c>
    </row>
    <row r="32">
      <c r="A32" s="8">
        <v>15.0</v>
      </c>
      <c r="B32" s="6" t="s">
        <v>100</v>
      </c>
      <c r="C32" s="6" t="s">
        <v>30</v>
      </c>
      <c r="D32" s="6" t="s">
        <v>132</v>
      </c>
      <c r="E32" s="7" t="s">
        <v>133</v>
      </c>
      <c r="F32" s="8">
        <v>2021.0</v>
      </c>
      <c r="G32" s="9" t="s">
        <v>134</v>
      </c>
      <c r="H32" s="6" t="s">
        <v>30</v>
      </c>
      <c r="I32" s="9" t="s">
        <v>68</v>
      </c>
      <c r="J32" s="6" t="s">
        <v>24</v>
      </c>
      <c r="K32" s="13" t="s">
        <v>135</v>
      </c>
      <c r="L32" s="14" t="s">
        <v>136</v>
      </c>
      <c r="M32" s="6" t="s">
        <v>137</v>
      </c>
      <c r="N32" s="6" t="s">
        <v>38</v>
      </c>
      <c r="O32" s="6" t="s">
        <v>38</v>
      </c>
      <c r="P32" s="12" t="str">
        <f t="shared" si="1"/>
        <v>Igual</v>
      </c>
    </row>
    <row r="33">
      <c r="A33" s="8">
        <v>15.0</v>
      </c>
      <c r="B33" s="6" t="s">
        <v>100</v>
      </c>
      <c r="C33" s="6" t="s">
        <v>30</v>
      </c>
      <c r="D33" s="6" t="s">
        <v>132</v>
      </c>
      <c r="E33" s="7" t="s">
        <v>133</v>
      </c>
      <c r="F33" s="8">
        <v>2021.0</v>
      </c>
      <c r="G33" s="9" t="s">
        <v>134</v>
      </c>
      <c r="H33" s="6" t="s">
        <v>30</v>
      </c>
      <c r="I33" s="9" t="s">
        <v>68</v>
      </c>
      <c r="J33" s="6" t="s">
        <v>26</v>
      </c>
      <c r="K33" s="13" t="s">
        <v>138</v>
      </c>
      <c r="L33" s="15" t="s">
        <v>139</v>
      </c>
      <c r="M33" s="6" t="s">
        <v>140</v>
      </c>
      <c r="N33" s="6" t="s">
        <v>38</v>
      </c>
      <c r="O33" s="6" t="s">
        <v>38</v>
      </c>
      <c r="P33" s="12" t="str">
        <f t="shared" si="1"/>
        <v>Igual</v>
      </c>
    </row>
    <row r="34">
      <c r="A34" s="8">
        <v>15.0</v>
      </c>
      <c r="B34" s="6" t="s">
        <v>100</v>
      </c>
      <c r="C34" s="6" t="s">
        <v>30</v>
      </c>
      <c r="D34" s="6" t="s">
        <v>132</v>
      </c>
      <c r="E34" s="7" t="s">
        <v>133</v>
      </c>
      <c r="F34" s="8">
        <v>2021.0</v>
      </c>
      <c r="G34" s="9" t="s">
        <v>134</v>
      </c>
      <c r="H34" s="6" t="s">
        <v>30</v>
      </c>
      <c r="I34" s="9" t="s">
        <v>68</v>
      </c>
      <c r="J34" s="6" t="s">
        <v>27</v>
      </c>
      <c r="K34" s="13" t="s">
        <v>141</v>
      </c>
      <c r="L34" s="14" t="s">
        <v>142</v>
      </c>
      <c r="M34" s="6" t="s">
        <v>143</v>
      </c>
      <c r="N34" s="6" t="s">
        <v>38</v>
      </c>
      <c r="O34" s="6" t="s">
        <v>38</v>
      </c>
      <c r="P34" s="12" t="str">
        <f t="shared" si="1"/>
        <v>Igual</v>
      </c>
    </row>
    <row r="35">
      <c r="A35" s="8">
        <v>15.0</v>
      </c>
      <c r="B35" s="6" t="s">
        <v>100</v>
      </c>
      <c r="C35" s="6" t="s">
        <v>30</v>
      </c>
      <c r="D35" s="6" t="s">
        <v>132</v>
      </c>
      <c r="E35" s="7" t="s">
        <v>133</v>
      </c>
      <c r="F35" s="8">
        <v>2021.0</v>
      </c>
      <c r="G35" s="9" t="s">
        <v>134</v>
      </c>
      <c r="H35" s="6" t="s">
        <v>30</v>
      </c>
      <c r="I35" s="9" t="s">
        <v>68</v>
      </c>
      <c r="J35" s="6" t="s">
        <v>28</v>
      </c>
      <c r="K35" s="13" t="s">
        <v>144</v>
      </c>
      <c r="L35" s="14" t="s">
        <v>145</v>
      </c>
      <c r="M35" s="6" t="s">
        <v>146</v>
      </c>
      <c r="N35" s="6" t="s">
        <v>38</v>
      </c>
      <c r="O35" s="6" t="s">
        <v>38</v>
      </c>
      <c r="P35" s="12" t="str">
        <f t="shared" si="1"/>
        <v>Igual</v>
      </c>
    </row>
    <row r="36">
      <c r="A36" s="8">
        <v>16.0</v>
      </c>
      <c r="B36" s="6" t="s">
        <v>100</v>
      </c>
      <c r="C36" s="6" t="s">
        <v>30</v>
      </c>
      <c r="D36" s="6" t="s">
        <v>147</v>
      </c>
      <c r="E36" s="7" t="s">
        <v>148</v>
      </c>
      <c r="F36" s="8">
        <v>2025.0</v>
      </c>
      <c r="G36" s="9" t="s">
        <v>149</v>
      </c>
      <c r="H36" s="6" t="s">
        <v>30</v>
      </c>
      <c r="I36" s="9" t="s">
        <v>68</v>
      </c>
      <c r="J36" s="6" t="s">
        <v>24</v>
      </c>
      <c r="K36" s="13" t="s">
        <v>150</v>
      </c>
      <c r="L36" s="14" t="s">
        <v>151</v>
      </c>
      <c r="M36" s="6" t="s">
        <v>152</v>
      </c>
      <c r="N36" s="6" t="s">
        <v>38</v>
      </c>
      <c r="O36" s="6" t="s">
        <v>38</v>
      </c>
      <c r="P36" s="12" t="str">
        <f t="shared" si="1"/>
        <v>Igual</v>
      </c>
    </row>
    <row r="37">
      <c r="A37" s="8">
        <v>16.0</v>
      </c>
      <c r="B37" s="6" t="s">
        <v>100</v>
      </c>
      <c r="C37" s="6" t="s">
        <v>30</v>
      </c>
      <c r="D37" s="6" t="s">
        <v>147</v>
      </c>
      <c r="E37" s="7" t="s">
        <v>148</v>
      </c>
      <c r="F37" s="8">
        <v>2025.0</v>
      </c>
      <c r="G37" s="9" t="s">
        <v>149</v>
      </c>
      <c r="H37" s="6" t="s">
        <v>30</v>
      </c>
      <c r="I37" s="9" t="s">
        <v>68</v>
      </c>
      <c r="J37" s="6" t="s">
        <v>26</v>
      </c>
      <c r="K37" s="13" t="s">
        <v>153</v>
      </c>
      <c r="L37" s="14" t="s">
        <v>154</v>
      </c>
      <c r="M37" s="6" t="s">
        <v>155</v>
      </c>
      <c r="N37" s="6" t="s">
        <v>38</v>
      </c>
      <c r="O37" s="6" t="s">
        <v>38</v>
      </c>
      <c r="P37" s="12" t="str">
        <f t="shared" si="1"/>
        <v>Igual</v>
      </c>
    </row>
    <row r="38">
      <c r="A38" s="8">
        <v>16.0</v>
      </c>
      <c r="B38" s="6" t="s">
        <v>100</v>
      </c>
      <c r="C38" s="6" t="s">
        <v>30</v>
      </c>
      <c r="D38" s="6" t="s">
        <v>147</v>
      </c>
      <c r="E38" s="7" t="s">
        <v>148</v>
      </c>
      <c r="F38" s="8">
        <v>2025.0</v>
      </c>
      <c r="G38" s="9" t="s">
        <v>149</v>
      </c>
      <c r="H38" s="6" t="s">
        <v>30</v>
      </c>
      <c r="I38" s="9" t="s">
        <v>68</v>
      </c>
      <c r="J38" s="6" t="s">
        <v>27</v>
      </c>
      <c r="K38" s="13" t="s">
        <v>156</v>
      </c>
      <c r="L38" s="14" t="s">
        <v>157</v>
      </c>
      <c r="M38" s="6" t="s">
        <v>158</v>
      </c>
      <c r="N38" s="6" t="s">
        <v>38</v>
      </c>
      <c r="O38" s="6" t="s">
        <v>38</v>
      </c>
      <c r="P38" s="12" t="str">
        <f t="shared" si="1"/>
        <v>Igual</v>
      </c>
    </row>
    <row r="39">
      <c r="A39" s="8">
        <v>16.0</v>
      </c>
      <c r="B39" s="6" t="s">
        <v>100</v>
      </c>
      <c r="C39" s="6" t="s">
        <v>30</v>
      </c>
      <c r="D39" s="6" t="s">
        <v>147</v>
      </c>
      <c r="E39" s="7" t="s">
        <v>148</v>
      </c>
      <c r="F39" s="8">
        <v>2025.0</v>
      </c>
      <c r="G39" s="9" t="s">
        <v>149</v>
      </c>
      <c r="H39" s="6" t="s">
        <v>30</v>
      </c>
      <c r="I39" s="9" t="s">
        <v>68</v>
      </c>
      <c r="J39" s="6" t="s">
        <v>28</v>
      </c>
      <c r="K39" s="13" t="s">
        <v>159</v>
      </c>
      <c r="L39" s="14" t="s">
        <v>160</v>
      </c>
      <c r="M39" s="6" t="s">
        <v>161</v>
      </c>
      <c r="N39" s="6" t="s">
        <v>38</v>
      </c>
      <c r="O39" s="6" t="s">
        <v>38</v>
      </c>
      <c r="P39" s="12" t="str">
        <f t="shared" si="1"/>
        <v>Igual</v>
      </c>
    </row>
    <row r="40">
      <c r="A40" s="8">
        <v>17.0</v>
      </c>
      <c r="B40" s="6" t="s">
        <v>100</v>
      </c>
      <c r="C40" s="6" t="s">
        <v>162</v>
      </c>
      <c r="D40" s="6" t="s">
        <v>163</v>
      </c>
      <c r="E40" s="7" t="s">
        <v>164</v>
      </c>
      <c r="F40" s="8">
        <v>2024.0</v>
      </c>
      <c r="G40" s="9" t="s">
        <v>165</v>
      </c>
      <c r="H40" s="6" t="s">
        <v>166</v>
      </c>
      <c r="I40" s="9" t="s">
        <v>68</v>
      </c>
      <c r="J40" s="6" t="s">
        <v>24</v>
      </c>
      <c r="K40" s="6" t="s">
        <v>167</v>
      </c>
      <c r="L40" s="14" t="s">
        <v>168</v>
      </c>
      <c r="M40" s="6" t="s">
        <v>169</v>
      </c>
      <c r="N40" s="6" t="s">
        <v>38</v>
      </c>
      <c r="O40" s="6" t="s">
        <v>38</v>
      </c>
      <c r="P40" s="12" t="str">
        <f t="shared" si="1"/>
        <v>Igual</v>
      </c>
    </row>
    <row r="41">
      <c r="A41" s="8">
        <v>17.0</v>
      </c>
      <c r="B41" s="6" t="s">
        <v>100</v>
      </c>
      <c r="C41" s="6" t="s">
        <v>162</v>
      </c>
      <c r="D41" s="6" t="s">
        <v>163</v>
      </c>
      <c r="E41" s="7" t="s">
        <v>164</v>
      </c>
      <c r="F41" s="8">
        <v>2024.0</v>
      </c>
      <c r="G41" s="9" t="s">
        <v>165</v>
      </c>
      <c r="H41" s="6" t="s">
        <v>166</v>
      </c>
      <c r="I41" s="9" t="s">
        <v>68</v>
      </c>
      <c r="J41" s="6" t="s">
        <v>26</v>
      </c>
      <c r="K41" s="6" t="s">
        <v>170</v>
      </c>
      <c r="L41" s="14" t="s">
        <v>171</v>
      </c>
      <c r="M41" s="6" t="s">
        <v>172</v>
      </c>
      <c r="N41" s="6" t="s">
        <v>38</v>
      </c>
      <c r="O41" s="6" t="s">
        <v>38</v>
      </c>
      <c r="P41" s="12" t="str">
        <f t="shared" si="1"/>
        <v>Igual</v>
      </c>
    </row>
    <row r="42">
      <c r="A42" s="8">
        <v>17.0</v>
      </c>
      <c r="B42" s="6" t="s">
        <v>100</v>
      </c>
      <c r="C42" s="6" t="s">
        <v>162</v>
      </c>
      <c r="D42" s="6" t="s">
        <v>163</v>
      </c>
      <c r="E42" s="7" t="s">
        <v>164</v>
      </c>
      <c r="F42" s="8">
        <v>2024.0</v>
      </c>
      <c r="G42" s="9" t="s">
        <v>165</v>
      </c>
      <c r="H42" s="6" t="s">
        <v>166</v>
      </c>
      <c r="I42" s="9" t="s">
        <v>68</v>
      </c>
      <c r="J42" s="6" t="s">
        <v>27</v>
      </c>
      <c r="K42" s="6" t="s">
        <v>173</v>
      </c>
      <c r="L42" s="14" t="s">
        <v>174</v>
      </c>
      <c r="M42" s="6" t="s">
        <v>175</v>
      </c>
      <c r="N42" s="6" t="s">
        <v>38</v>
      </c>
      <c r="O42" s="6" t="s">
        <v>38</v>
      </c>
      <c r="P42" s="12" t="str">
        <f t="shared" si="1"/>
        <v>Igual</v>
      </c>
    </row>
    <row r="43">
      <c r="A43" s="8">
        <v>17.0</v>
      </c>
      <c r="B43" s="6" t="s">
        <v>100</v>
      </c>
      <c r="C43" s="6" t="s">
        <v>162</v>
      </c>
      <c r="D43" s="6" t="s">
        <v>163</v>
      </c>
      <c r="E43" s="7" t="s">
        <v>164</v>
      </c>
      <c r="F43" s="8">
        <v>2024.0</v>
      </c>
      <c r="G43" s="9" t="s">
        <v>165</v>
      </c>
      <c r="H43" s="6" t="s">
        <v>166</v>
      </c>
      <c r="I43" s="9" t="s">
        <v>68</v>
      </c>
      <c r="J43" s="6" t="s">
        <v>28</v>
      </c>
      <c r="K43" s="6" t="s">
        <v>176</v>
      </c>
      <c r="L43" s="14" t="s">
        <v>177</v>
      </c>
      <c r="M43" s="6" t="s">
        <v>178</v>
      </c>
      <c r="N43" s="6" t="s">
        <v>38</v>
      </c>
      <c r="O43" s="6" t="s">
        <v>38</v>
      </c>
      <c r="P43" s="12" t="str">
        <f t="shared" si="1"/>
        <v>Igual</v>
      </c>
    </row>
    <row r="44">
      <c r="A44" s="8">
        <v>19.0</v>
      </c>
      <c r="B44" s="6" t="s">
        <v>100</v>
      </c>
      <c r="C44" s="6" t="s">
        <v>116</v>
      </c>
      <c r="D44" s="6" t="s">
        <v>179</v>
      </c>
      <c r="E44" s="7" t="s">
        <v>180</v>
      </c>
      <c r="F44" s="8">
        <v>2025.0</v>
      </c>
      <c r="G44" s="9" t="s">
        <v>181</v>
      </c>
      <c r="H44" s="6" t="s">
        <v>116</v>
      </c>
      <c r="I44" s="9" t="s">
        <v>68</v>
      </c>
      <c r="J44" s="6" t="s">
        <v>24</v>
      </c>
      <c r="K44" s="13" t="s">
        <v>182</v>
      </c>
      <c r="L44" s="14" t="s">
        <v>183</v>
      </c>
      <c r="M44" s="6" t="s">
        <v>184</v>
      </c>
      <c r="N44" s="6" t="s">
        <v>38</v>
      </c>
      <c r="O44" s="6" t="s">
        <v>38</v>
      </c>
      <c r="P44" s="12" t="str">
        <f t="shared" si="1"/>
        <v>Igual</v>
      </c>
    </row>
    <row r="45">
      <c r="A45" s="8">
        <v>19.0</v>
      </c>
      <c r="B45" s="6" t="s">
        <v>100</v>
      </c>
      <c r="C45" s="6" t="s">
        <v>116</v>
      </c>
      <c r="D45" s="6" t="s">
        <v>179</v>
      </c>
      <c r="E45" s="7" t="s">
        <v>180</v>
      </c>
      <c r="F45" s="8">
        <v>2025.0</v>
      </c>
      <c r="G45" s="9" t="s">
        <v>181</v>
      </c>
      <c r="H45" s="6" t="s">
        <v>116</v>
      </c>
      <c r="I45" s="9" t="s">
        <v>68</v>
      </c>
      <c r="J45" s="6" t="s">
        <v>26</v>
      </c>
      <c r="K45" s="13" t="s">
        <v>185</v>
      </c>
      <c r="L45" s="14" t="s">
        <v>186</v>
      </c>
      <c r="M45" s="6" t="s">
        <v>187</v>
      </c>
      <c r="N45" s="6" t="s">
        <v>38</v>
      </c>
      <c r="O45" s="6" t="s">
        <v>38</v>
      </c>
      <c r="P45" s="12" t="str">
        <f t="shared" si="1"/>
        <v>Igual</v>
      </c>
    </row>
    <row r="46">
      <c r="A46" s="8">
        <v>19.0</v>
      </c>
      <c r="B46" s="6" t="s">
        <v>100</v>
      </c>
      <c r="C46" s="6" t="s">
        <v>116</v>
      </c>
      <c r="D46" s="6" t="s">
        <v>179</v>
      </c>
      <c r="E46" s="7" t="s">
        <v>180</v>
      </c>
      <c r="F46" s="8">
        <v>2025.0</v>
      </c>
      <c r="G46" s="9" t="s">
        <v>181</v>
      </c>
      <c r="H46" s="6" t="s">
        <v>116</v>
      </c>
      <c r="I46" s="9" t="s">
        <v>68</v>
      </c>
      <c r="J46" s="6" t="s">
        <v>27</v>
      </c>
      <c r="K46" s="13" t="s">
        <v>188</v>
      </c>
      <c r="L46" s="14" t="s">
        <v>189</v>
      </c>
      <c r="M46" s="6" t="s">
        <v>190</v>
      </c>
      <c r="N46" s="6" t="s">
        <v>38</v>
      </c>
      <c r="O46" s="6" t="s">
        <v>38</v>
      </c>
      <c r="P46" s="12" t="str">
        <f t="shared" si="1"/>
        <v>Igual</v>
      </c>
    </row>
    <row r="47">
      <c r="A47" s="8">
        <v>19.0</v>
      </c>
      <c r="B47" s="6" t="s">
        <v>100</v>
      </c>
      <c r="C47" s="6" t="s">
        <v>116</v>
      </c>
      <c r="D47" s="6" t="s">
        <v>179</v>
      </c>
      <c r="E47" s="7" t="s">
        <v>180</v>
      </c>
      <c r="F47" s="8">
        <v>2025.0</v>
      </c>
      <c r="G47" s="9" t="s">
        <v>181</v>
      </c>
      <c r="H47" s="6" t="s">
        <v>116</v>
      </c>
      <c r="I47" s="9" t="s">
        <v>68</v>
      </c>
      <c r="J47" s="6" t="s">
        <v>28</v>
      </c>
      <c r="K47" s="13" t="s">
        <v>191</v>
      </c>
      <c r="L47" s="14" t="s">
        <v>192</v>
      </c>
      <c r="M47" s="6" t="s">
        <v>193</v>
      </c>
      <c r="N47" s="6" t="s">
        <v>38</v>
      </c>
      <c r="O47" s="6" t="s">
        <v>38</v>
      </c>
      <c r="P47" s="12" t="str">
        <f t="shared" si="1"/>
        <v>Igual</v>
      </c>
    </row>
    <row r="48">
      <c r="A48" s="8">
        <v>21.0</v>
      </c>
      <c r="B48" s="6" t="s">
        <v>100</v>
      </c>
      <c r="C48" s="6" t="s">
        <v>30</v>
      </c>
      <c r="D48" s="6" t="s">
        <v>194</v>
      </c>
      <c r="E48" s="7" t="s">
        <v>195</v>
      </c>
      <c r="F48" s="8">
        <v>2025.0</v>
      </c>
      <c r="G48" s="9" t="s">
        <v>196</v>
      </c>
      <c r="H48" s="6" t="s">
        <v>30</v>
      </c>
      <c r="I48" s="9" t="s">
        <v>68</v>
      </c>
      <c r="J48" s="6" t="s">
        <v>24</v>
      </c>
      <c r="K48" s="13" t="s">
        <v>197</v>
      </c>
      <c r="L48" s="14" t="s">
        <v>198</v>
      </c>
      <c r="M48" s="6" t="s">
        <v>199</v>
      </c>
      <c r="N48" s="6" t="s">
        <v>38</v>
      </c>
      <c r="O48" s="6" t="s">
        <v>38</v>
      </c>
      <c r="P48" s="12" t="str">
        <f t="shared" si="1"/>
        <v>Igual</v>
      </c>
    </row>
    <row r="49">
      <c r="A49" s="8">
        <v>21.0</v>
      </c>
      <c r="B49" s="6" t="s">
        <v>100</v>
      </c>
      <c r="C49" s="6" t="s">
        <v>30</v>
      </c>
      <c r="D49" s="6" t="s">
        <v>194</v>
      </c>
      <c r="E49" s="7" t="s">
        <v>195</v>
      </c>
      <c r="F49" s="8">
        <v>2025.0</v>
      </c>
      <c r="G49" s="9" t="s">
        <v>196</v>
      </c>
      <c r="H49" s="6" t="s">
        <v>30</v>
      </c>
      <c r="I49" s="9" t="s">
        <v>68</v>
      </c>
      <c r="J49" s="6" t="s">
        <v>26</v>
      </c>
      <c r="K49" s="13" t="s">
        <v>200</v>
      </c>
      <c r="L49" s="14" t="s">
        <v>201</v>
      </c>
      <c r="M49" s="6" t="s">
        <v>202</v>
      </c>
      <c r="N49" s="6" t="s">
        <v>38</v>
      </c>
      <c r="O49" s="6" t="s">
        <v>38</v>
      </c>
      <c r="P49" s="12" t="str">
        <f t="shared" si="1"/>
        <v>Igual</v>
      </c>
    </row>
    <row r="50">
      <c r="A50" s="8">
        <v>21.0</v>
      </c>
      <c r="B50" s="6" t="s">
        <v>100</v>
      </c>
      <c r="C50" s="6" t="s">
        <v>30</v>
      </c>
      <c r="D50" s="6" t="s">
        <v>194</v>
      </c>
      <c r="E50" s="7" t="s">
        <v>195</v>
      </c>
      <c r="F50" s="8">
        <v>2025.0</v>
      </c>
      <c r="G50" s="9" t="s">
        <v>196</v>
      </c>
      <c r="H50" s="6" t="s">
        <v>30</v>
      </c>
      <c r="I50" s="9" t="s">
        <v>68</v>
      </c>
      <c r="J50" s="6" t="s">
        <v>27</v>
      </c>
      <c r="K50" s="13" t="s">
        <v>203</v>
      </c>
      <c r="L50" s="14" t="s">
        <v>204</v>
      </c>
      <c r="M50" s="6" t="s">
        <v>205</v>
      </c>
      <c r="N50" s="6" t="s">
        <v>38</v>
      </c>
      <c r="O50" s="6" t="s">
        <v>38</v>
      </c>
      <c r="P50" s="12" t="str">
        <f t="shared" si="1"/>
        <v>Igual</v>
      </c>
    </row>
    <row r="51">
      <c r="A51" s="8">
        <v>21.0</v>
      </c>
      <c r="B51" s="6" t="s">
        <v>100</v>
      </c>
      <c r="C51" s="6" t="s">
        <v>30</v>
      </c>
      <c r="D51" s="6" t="s">
        <v>194</v>
      </c>
      <c r="E51" s="7" t="s">
        <v>195</v>
      </c>
      <c r="F51" s="8">
        <v>2025.0</v>
      </c>
      <c r="G51" s="9" t="s">
        <v>196</v>
      </c>
      <c r="H51" s="6" t="s">
        <v>30</v>
      </c>
      <c r="I51" s="9" t="s">
        <v>68</v>
      </c>
      <c r="J51" s="6" t="s">
        <v>28</v>
      </c>
      <c r="K51" s="13" t="s">
        <v>206</v>
      </c>
      <c r="L51" s="14" t="s">
        <v>207</v>
      </c>
      <c r="M51" s="6" t="s">
        <v>208</v>
      </c>
      <c r="N51" s="6" t="s">
        <v>38</v>
      </c>
      <c r="O51" s="6" t="s">
        <v>38</v>
      </c>
      <c r="P51" s="12" t="str">
        <f t="shared" si="1"/>
        <v>Igual</v>
      </c>
    </row>
    <row r="52">
      <c r="A52" s="8">
        <v>29.0</v>
      </c>
      <c r="B52" s="6" t="s">
        <v>100</v>
      </c>
      <c r="C52" s="6" t="s">
        <v>209</v>
      </c>
      <c r="D52" s="6" t="s">
        <v>210</v>
      </c>
      <c r="E52" s="7" t="s">
        <v>211</v>
      </c>
      <c r="F52" s="8">
        <v>2025.0</v>
      </c>
      <c r="G52" s="9" t="s">
        <v>212</v>
      </c>
      <c r="H52" s="6" t="s">
        <v>30</v>
      </c>
      <c r="I52" s="9" t="s">
        <v>68</v>
      </c>
      <c r="J52" s="6" t="s">
        <v>24</v>
      </c>
      <c r="K52" s="13" t="s">
        <v>213</v>
      </c>
      <c r="L52" s="14" t="s">
        <v>214</v>
      </c>
      <c r="M52" s="6" t="s">
        <v>215</v>
      </c>
      <c r="N52" s="6" t="s">
        <v>38</v>
      </c>
      <c r="O52" s="6" t="s">
        <v>38</v>
      </c>
      <c r="P52" s="12" t="str">
        <f t="shared" si="1"/>
        <v>Igual</v>
      </c>
    </row>
    <row r="53">
      <c r="A53" s="8">
        <v>29.0</v>
      </c>
      <c r="B53" s="6" t="s">
        <v>100</v>
      </c>
      <c r="C53" s="6" t="s">
        <v>209</v>
      </c>
      <c r="D53" s="6" t="s">
        <v>210</v>
      </c>
      <c r="E53" s="7" t="s">
        <v>211</v>
      </c>
      <c r="F53" s="8">
        <v>2025.0</v>
      </c>
      <c r="G53" s="9" t="s">
        <v>212</v>
      </c>
      <c r="H53" s="6" t="s">
        <v>30</v>
      </c>
      <c r="I53" s="9" t="s">
        <v>68</v>
      </c>
      <c r="J53" s="6" t="s">
        <v>26</v>
      </c>
      <c r="K53" s="13" t="s">
        <v>216</v>
      </c>
      <c r="L53" s="14" t="s">
        <v>217</v>
      </c>
      <c r="M53" s="6" t="s">
        <v>218</v>
      </c>
      <c r="N53" s="6" t="s">
        <v>38</v>
      </c>
      <c r="O53" s="6" t="s">
        <v>38</v>
      </c>
      <c r="P53" s="12" t="str">
        <f t="shared" si="1"/>
        <v>Igual</v>
      </c>
    </row>
    <row r="54">
      <c r="A54" s="8">
        <v>29.0</v>
      </c>
      <c r="B54" s="6" t="s">
        <v>100</v>
      </c>
      <c r="C54" s="6" t="s">
        <v>209</v>
      </c>
      <c r="D54" s="6" t="s">
        <v>210</v>
      </c>
      <c r="E54" s="7" t="s">
        <v>211</v>
      </c>
      <c r="F54" s="8">
        <v>2025.0</v>
      </c>
      <c r="G54" s="9" t="s">
        <v>212</v>
      </c>
      <c r="H54" s="6" t="s">
        <v>30</v>
      </c>
      <c r="I54" s="9" t="s">
        <v>68</v>
      </c>
      <c r="J54" s="6" t="s">
        <v>27</v>
      </c>
      <c r="K54" s="13" t="s">
        <v>219</v>
      </c>
      <c r="L54" s="14" t="s">
        <v>220</v>
      </c>
      <c r="M54" s="6" t="s">
        <v>221</v>
      </c>
      <c r="N54" s="6" t="s">
        <v>38</v>
      </c>
      <c r="O54" s="6" t="s">
        <v>38</v>
      </c>
      <c r="P54" s="12" t="str">
        <f t="shared" si="1"/>
        <v>Igual</v>
      </c>
    </row>
    <row r="55">
      <c r="A55" s="8">
        <v>29.0</v>
      </c>
      <c r="B55" s="6" t="s">
        <v>100</v>
      </c>
      <c r="C55" s="6" t="s">
        <v>209</v>
      </c>
      <c r="D55" s="6" t="s">
        <v>210</v>
      </c>
      <c r="E55" s="7" t="s">
        <v>211</v>
      </c>
      <c r="F55" s="8">
        <v>2025.0</v>
      </c>
      <c r="G55" s="9" t="s">
        <v>212</v>
      </c>
      <c r="H55" s="6" t="s">
        <v>30</v>
      </c>
      <c r="I55" s="9" t="s">
        <v>68</v>
      </c>
      <c r="J55" s="6" t="s">
        <v>28</v>
      </c>
      <c r="K55" s="13" t="s">
        <v>222</v>
      </c>
      <c r="L55" s="14" t="s">
        <v>223</v>
      </c>
      <c r="M55" s="6" t="s">
        <v>224</v>
      </c>
      <c r="N55" s="6" t="s">
        <v>38</v>
      </c>
      <c r="O55" s="6" t="s">
        <v>38</v>
      </c>
      <c r="P55" s="12" t="str">
        <f t="shared" si="1"/>
        <v>Igual</v>
      </c>
    </row>
    <row r="56">
      <c r="A56" s="8">
        <v>30.0</v>
      </c>
      <c r="B56" s="6" t="s">
        <v>100</v>
      </c>
      <c r="C56" s="6" t="s">
        <v>225</v>
      </c>
      <c r="D56" s="6" t="s">
        <v>226</v>
      </c>
      <c r="E56" s="7" t="s">
        <v>227</v>
      </c>
      <c r="F56" s="8">
        <v>2025.0</v>
      </c>
      <c r="G56" s="9" t="s">
        <v>228</v>
      </c>
      <c r="H56" s="6" t="s">
        <v>225</v>
      </c>
      <c r="I56" s="9" t="s">
        <v>68</v>
      </c>
      <c r="J56" s="6" t="s">
        <v>24</v>
      </c>
      <c r="K56" s="13" t="s">
        <v>229</v>
      </c>
      <c r="L56" s="14" t="s">
        <v>230</v>
      </c>
      <c r="M56" s="6" t="s">
        <v>231</v>
      </c>
      <c r="N56" s="6" t="s">
        <v>38</v>
      </c>
      <c r="O56" s="6" t="s">
        <v>38</v>
      </c>
      <c r="P56" s="12" t="str">
        <f t="shared" si="1"/>
        <v>Igual</v>
      </c>
    </row>
    <row r="57">
      <c r="A57" s="8">
        <v>30.0</v>
      </c>
      <c r="B57" s="6" t="s">
        <v>100</v>
      </c>
      <c r="C57" s="6" t="s">
        <v>225</v>
      </c>
      <c r="D57" s="6" t="s">
        <v>226</v>
      </c>
      <c r="E57" s="7" t="s">
        <v>227</v>
      </c>
      <c r="F57" s="8">
        <v>2025.0</v>
      </c>
      <c r="G57" s="9" t="s">
        <v>228</v>
      </c>
      <c r="H57" s="6" t="s">
        <v>225</v>
      </c>
      <c r="I57" s="9" t="s">
        <v>68</v>
      </c>
      <c r="J57" s="6" t="s">
        <v>26</v>
      </c>
      <c r="K57" s="13" t="s">
        <v>232</v>
      </c>
      <c r="L57" s="14" t="s">
        <v>233</v>
      </c>
      <c r="M57" s="6" t="s">
        <v>234</v>
      </c>
      <c r="N57" s="6" t="s">
        <v>38</v>
      </c>
      <c r="O57" s="6" t="s">
        <v>38</v>
      </c>
      <c r="P57" s="12" t="str">
        <f t="shared" si="1"/>
        <v>Igual</v>
      </c>
    </row>
    <row r="58">
      <c r="A58" s="8">
        <v>30.0</v>
      </c>
      <c r="B58" s="6" t="s">
        <v>100</v>
      </c>
      <c r="C58" s="6" t="s">
        <v>225</v>
      </c>
      <c r="D58" s="6" t="s">
        <v>226</v>
      </c>
      <c r="E58" s="7" t="s">
        <v>227</v>
      </c>
      <c r="F58" s="8">
        <v>2025.0</v>
      </c>
      <c r="G58" s="9" t="s">
        <v>228</v>
      </c>
      <c r="H58" s="6" t="s">
        <v>225</v>
      </c>
      <c r="I58" s="9" t="s">
        <v>68</v>
      </c>
      <c r="J58" s="6" t="s">
        <v>27</v>
      </c>
      <c r="K58" s="13" t="s">
        <v>235</v>
      </c>
      <c r="L58" s="14" t="s">
        <v>236</v>
      </c>
      <c r="M58" s="6" t="s">
        <v>237</v>
      </c>
      <c r="N58" s="6" t="s">
        <v>38</v>
      </c>
      <c r="O58" s="6" t="s">
        <v>38</v>
      </c>
      <c r="P58" s="12" t="str">
        <f t="shared" si="1"/>
        <v>Igual</v>
      </c>
    </row>
    <row r="59">
      <c r="A59" s="8">
        <v>30.0</v>
      </c>
      <c r="B59" s="6" t="s">
        <v>100</v>
      </c>
      <c r="C59" s="6" t="s">
        <v>225</v>
      </c>
      <c r="D59" s="6" t="s">
        <v>226</v>
      </c>
      <c r="E59" s="7" t="s">
        <v>227</v>
      </c>
      <c r="F59" s="8">
        <v>2025.0</v>
      </c>
      <c r="G59" s="9" t="s">
        <v>228</v>
      </c>
      <c r="H59" s="6" t="s">
        <v>225</v>
      </c>
      <c r="I59" s="9" t="s">
        <v>68</v>
      </c>
      <c r="J59" s="6" t="s">
        <v>28</v>
      </c>
      <c r="K59" s="13" t="s">
        <v>238</v>
      </c>
      <c r="L59" s="14" t="s">
        <v>239</v>
      </c>
      <c r="M59" s="6" t="s">
        <v>240</v>
      </c>
      <c r="N59" s="6" t="s">
        <v>38</v>
      </c>
      <c r="O59" s="6" t="s">
        <v>38</v>
      </c>
      <c r="P59" s="12" t="str">
        <f t="shared" si="1"/>
        <v>Igual</v>
      </c>
    </row>
    <row r="60">
      <c r="A60" s="8">
        <v>33.0</v>
      </c>
      <c r="B60" s="6" t="s">
        <v>29</v>
      </c>
      <c r="C60" s="6" t="s">
        <v>241</v>
      </c>
      <c r="D60" s="6" t="s">
        <v>242</v>
      </c>
      <c r="E60" s="7" t="s">
        <v>243</v>
      </c>
      <c r="F60" s="8">
        <v>2025.0</v>
      </c>
      <c r="G60" s="9" t="s">
        <v>244</v>
      </c>
      <c r="H60" s="6" t="s">
        <v>241</v>
      </c>
      <c r="I60" s="6" t="s">
        <v>245</v>
      </c>
      <c r="J60" s="6" t="s">
        <v>24</v>
      </c>
      <c r="K60" s="13" t="s">
        <v>246</v>
      </c>
      <c r="L60" s="14" t="s">
        <v>247</v>
      </c>
      <c r="M60" s="6" t="s">
        <v>248</v>
      </c>
      <c r="N60" s="6" t="s">
        <v>38</v>
      </c>
      <c r="O60" s="6" t="s">
        <v>38</v>
      </c>
      <c r="P60" s="12" t="str">
        <f t="shared" si="1"/>
        <v>Igual</v>
      </c>
    </row>
    <row r="61">
      <c r="A61" s="8">
        <v>33.0</v>
      </c>
      <c r="B61" s="6" t="s">
        <v>29</v>
      </c>
      <c r="C61" s="6" t="s">
        <v>241</v>
      </c>
      <c r="D61" s="6" t="s">
        <v>242</v>
      </c>
      <c r="E61" s="7" t="s">
        <v>243</v>
      </c>
      <c r="F61" s="8">
        <v>2025.0</v>
      </c>
      <c r="G61" s="9" t="s">
        <v>244</v>
      </c>
      <c r="H61" s="6" t="s">
        <v>241</v>
      </c>
      <c r="I61" s="6" t="s">
        <v>245</v>
      </c>
      <c r="J61" s="6" t="s">
        <v>26</v>
      </c>
      <c r="K61" s="13" t="s">
        <v>249</v>
      </c>
      <c r="L61" s="14" t="s">
        <v>250</v>
      </c>
      <c r="M61" s="6" t="s">
        <v>251</v>
      </c>
      <c r="N61" s="6" t="s">
        <v>38</v>
      </c>
      <c r="O61" s="6" t="s">
        <v>38</v>
      </c>
      <c r="P61" s="12" t="str">
        <f t="shared" si="1"/>
        <v>Igual</v>
      </c>
    </row>
    <row r="62">
      <c r="A62" s="8">
        <v>33.0</v>
      </c>
      <c r="B62" s="6" t="s">
        <v>29</v>
      </c>
      <c r="C62" s="6" t="s">
        <v>241</v>
      </c>
      <c r="D62" s="6" t="s">
        <v>242</v>
      </c>
      <c r="E62" s="7" t="s">
        <v>243</v>
      </c>
      <c r="F62" s="8">
        <v>2025.0</v>
      </c>
      <c r="G62" s="9" t="s">
        <v>244</v>
      </c>
      <c r="H62" s="6" t="s">
        <v>241</v>
      </c>
      <c r="I62" s="6" t="s">
        <v>245</v>
      </c>
      <c r="J62" s="6" t="s">
        <v>27</v>
      </c>
      <c r="K62" s="13" t="s">
        <v>252</v>
      </c>
      <c r="L62" s="14" t="s">
        <v>253</v>
      </c>
      <c r="M62" s="6" t="s">
        <v>254</v>
      </c>
      <c r="N62" s="6" t="s">
        <v>38</v>
      </c>
      <c r="O62" s="6" t="s">
        <v>38</v>
      </c>
      <c r="P62" s="12" t="str">
        <f t="shared" si="1"/>
        <v>Igual</v>
      </c>
    </row>
    <row r="63">
      <c r="A63" s="8">
        <v>33.0</v>
      </c>
      <c r="B63" s="6" t="s">
        <v>29</v>
      </c>
      <c r="C63" s="6" t="s">
        <v>241</v>
      </c>
      <c r="D63" s="6" t="s">
        <v>242</v>
      </c>
      <c r="E63" s="7" t="s">
        <v>243</v>
      </c>
      <c r="F63" s="8">
        <v>2025.0</v>
      </c>
      <c r="G63" s="9" t="s">
        <v>244</v>
      </c>
      <c r="H63" s="6" t="s">
        <v>241</v>
      </c>
      <c r="I63" s="6" t="s">
        <v>245</v>
      </c>
      <c r="J63" s="6" t="s">
        <v>28</v>
      </c>
      <c r="K63" s="13" t="s">
        <v>255</v>
      </c>
      <c r="L63" s="14" t="s">
        <v>256</v>
      </c>
      <c r="M63" s="6" t="s">
        <v>257</v>
      </c>
      <c r="N63" s="6" t="s">
        <v>38</v>
      </c>
      <c r="O63" s="6" t="s">
        <v>38</v>
      </c>
      <c r="P63" s="12" t="str">
        <f t="shared" si="1"/>
        <v>Igual</v>
      </c>
    </row>
    <row r="64">
      <c r="A64" s="8">
        <v>34.0</v>
      </c>
      <c r="B64" s="6" t="s">
        <v>100</v>
      </c>
      <c r="C64" s="6" t="s">
        <v>258</v>
      </c>
      <c r="D64" s="6" t="s">
        <v>259</v>
      </c>
      <c r="E64" s="7" t="s">
        <v>260</v>
      </c>
      <c r="F64" s="8">
        <v>2021.0</v>
      </c>
      <c r="G64" s="9" t="s">
        <v>261</v>
      </c>
      <c r="H64" s="6" t="s">
        <v>262</v>
      </c>
      <c r="I64" s="16"/>
      <c r="J64" s="6" t="s">
        <v>24</v>
      </c>
      <c r="K64" s="6" t="s">
        <v>263</v>
      </c>
      <c r="L64" s="14" t="s">
        <v>264</v>
      </c>
      <c r="M64" s="6" t="s">
        <v>265</v>
      </c>
      <c r="N64" s="6" t="s">
        <v>38</v>
      </c>
      <c r="O64" s="6" t="s">
        <v>38</v>
      </c>
      <c r="P64" s="12" t="str">
        <f t="shared" si="1"/>
        <v>Igual</v>
      </c>
    </row>
    <row r="65">
      <c r="A65" s="8">
        <v>34.0</v>
      </c>
      <c r="B65" s="6" t="s">
        <v>100</v>
      </c>
      <c r="C65" s="6" t="s">
        <v>258</v>
      </c>
      <c r="D65" s="6" t="s">
        <v>259</v>
      </c>
      <c r="E65" s="7" t="s">
        <v>260</v>
      </c>
      <c r="F65" s="8">
        <v>2021.0</v>
      </c>
      <c r="G65" s="9" t="s">
        <v>261</v>
      </c>
      <c r="H65" s="6" t="s">
        <v>262</v>
      </c>
      <c r="I65" s="9" t="s">
        <v>245</v>
      </c>
      <c r="J65" s="6" t="s">
        <v>26</v>
      </c>
      <c r="K65" s="6" t="s">
        <v>266</v>
      </c>
      <c r="L65" s="14" t="s">
        <v>267</v>
      </c>
      <c r="M65" s="6" t="s">
        <v>268</v>
      </c>
      <c r="N65" s="6" t="s">
        <v>38</v>
      </c>
      <c r="O65" s="6" t="s">
        <v>38</v>
      </c>
      <c r="P65" s="12" t="str">
        <f t="shared" si="1"/>
        <v>Igual</v>
      </c>
    </row>
    <row r="66">
      <c r="A66" s="8">
        <v>34.0</v>
      </c>
      <c r="B66" s="6" t="s">
        <v>100</v>
      </c>
      <c r="C66" s="6" t="s">
        <v>258</v>
      </c>
      <c r="D66" s="6" t="s">
        <v>259</v>
      </c>
      <c r="E66" s="7" t="s">
        <v>260</v>
      </c>
      <c r="F66" s="8">
        <v>2021.0</v>
      </c>
      <c r="G66" s="9" t="s">
        <v>261</v>
      </c>
      <c r="H66" s="6" t="s">
        <v>262</v>
      </c>
      <c r="I66" s="9" t="s">
        <v>245</v>
      </c>
      <c r="J66" s="6" t="s">
        <v>27</v>
      </c>
      <c r="K66" s="6" t="s">
        <v>269</v>
      </c>
      <c r="L66" s="14" t="s">
        <v>270</v>
      </c>
      <c r="M66" s="6" t="s">
        <v>271</v>
      </c>
      <c r="N66" s="6" t="s">
        <v>38</v>
      </c>
      <c r="O66" s="6" t="s">
        <v>38</v>
      </c>
      <c r="P66" s="12" t="str">
        <f t="shared" si="1"/>
        <v>Igual</v>
      </c>
    </row>
    <row r="67">
      <c r="A67" s="8">
        <v>34.0</v>
      </c>
      <c r="B67" s="6" t="s">
        <v>100</v>
      </c>
      <c r="C67" s="6" t="s">
        <v>258</v>
      </c>
      <c r="D67" s="6" t="s">
        <v>259</v>
      </c>
      <c r="E67" s="7" t="s">
        <v>260</v>
      </c>
      <c r="F67" s="8">
        <v>2021.0</v>
      </c>
      <c r="G67" s="9" t="s">
        <v>261</v>
      </c>
      <c r="H67" s="6" t="s">
        <v>262</v>
      </c>
      <c r="I67" s="9" t="s">
        <v>245</v>
      </c>
      <c r="J67" s="6" t="s">
        <v>28</v>
      </c>
      <c r="K67" s="6" t="s">
        <v>272</v>
      </c>
      <c r="L67" s="14" t="s">
        <v>273</v>
      </c>
      <c r="M67" s="6" t="s">
        <v>274</v>
      </c>
      <c r="N67" s="6" t="s">
        <v>38</v>
      </c>
      <c r="O67" s="6" t="s">
        <v>38</v>
      </c>
      <c r="P67" s="12" t="str">
        <f t="shared" si="1"/>
        <v>Igual</v>
      </c>
    </row>
    <row r="68">
      <c r="A68" s="8">
        <v>35.0</v>
      </c>
      <c r="B68" s="6" t="s">
        <v>29</v>
      </c>
      <c r="C68" s="6" t="s">
        <v>275</v>
      </c>
      <c r="D68" s="6" t="s">
        <v>276</v>
      </c>
      <c r="E68" s="7" t="s">
        <v>277</v>
      </c>
      <c r="F68" s="8">
        <v>2025.0</v>
      </c>
      <c r="G68" s="9" t="s">
        <v>278</v>
      </c>
      <c r="H68" s="6" t="s">
        <v>275</v>
      </c>
      <c r="I68" s="9" t="s">
        <v>245</v>
      </c>
      <c r="J68" s="6" t="s">
        <v>24</v>
      </c>
      <c r="K68" s="6" t="s">
        <v>279</v>
      </c>
      <c r="L68" s="14" t="s">
        <v>280</v>
      </c>
      <c r="M68" s="6" t="s">
        <v>281</v>
      </c>
      <c r="N68" s="6" t="s">
        <v>38</v>
      </c>
      <c r="O68" s="6" t="s">
        <v>38</v>
      </c>
      <c r="P68" s="12" t="str">
        <f t="shared" si="1"/>
        <v>Igual</v>
      </c>
    </row>
    <row r="69">
      <c r="A69" s="8">
        <v>35.0</v>
      </c>
      <c r="B69" s="6" t="s">
        <v>29</v>
      </c>
      <c r="C69" s="6" t="s">
        <v>275</v>
      </c>
      <c r="D69" s="6" t="s">
        <v>276</v>
      </c>
      <c r="E69" s="7" t="s">
        <v>277</v>
      </c>
      <c r="F69" s="8">
        <v>2025.0</v>
      </c>
      <c r="G69" s="9" t="s">
        <v>278</v>
      </c>
      <c r="H69" s="6" t="s">
        <v>275</v>
      </c>
      <c r="I69" s="9" t="s">
        <v>245</v>
      </c>
      <c r="J69" s="6" t="s">
        <v>26</v>
      </c>
      <c r="K69" s="6" t="s">
        <v>282</v>
      </c>
      <c r="L69" s="14" t="s">
        <v>283</v>
      </c>
      <c r="M69" s="6" t="s">
        <v>284</v>
      </c>
      <c r="N69" s="6" t="s">
        <v>38</v>
      </c>
      <c r="O69" s="6" t="s">
        <v>38</v>
      </c>
      <c r="P69" s="12" t="str">
        <f t="shared" si="1"/>
        <v>Igual</v>
      </c>
    </row>
    <row r="70">
      <c r="A70" s="8">
        <v>35.0</v>
      </c>
      <c r="B70" s="6" t="s">
        <v>29</v>
      </c>
      <c r="C70" s="6" t="s">
        <v>275</v>
      </c>
      <c r="D70" s="6" t="s">
        <v>276</v>
      </c>
      <c r="E70" s="7" t="s">
        <v>277</v>
      </c>
      <c r="F70" s="8">
        <v>2025.0</v>
      </c>
      <c r="G70" s="9" t="s">
        <v>278</v>
      </c>
      <c r="H70" s="6" t="s">
        <v>275</v>
      </c>
      <c r="I70" s="9" t="s">
        <v>245</v>
      </c>
      <c r="J70" s="6" t="s">
        <v>27</v>
      </c>
      <c r="K70" s="6" t="s">
        <v>285</v>
      </c>
      <c r="L70" s="14" t="s">
        <v>286</v>
      </c>
      <c r="M70" s="6" t="s">
        <v>287</v>
      </c>
      <c r="N70" s="6" t="s">
        <v>38</v>
      </c>
      <c r="O70" s="6" t="s">
        <v>38</v>
      </c>
      <c r="P70" s="12" t="str">
        <f t="shared" si="1"/>
        <v>Igual</v>
      </c>
    </row>
    <row r="71">
      <c r="A71" s="8">
        <v>35.0</v>
      </c>
      <c r="B71" s="6" t="s">
        <v>29</v>
      </c>
      <c r="C71" s="6" t="s">
        <v>275</v>
      </c>
      <c r="D71" s="6" t="s">
        <v>276</v>
      </c>
      <c r="E71" s="7" t="s">
        <v>277</v>
      </c>
      <c r="F71" s="8">
        <v>2025.0</v>
      </c>
      <c r="G71" s="9" t="s">
        <v>278</v>
      </c>
      <c r="H71" s="6" t="s">
        <v>275</v>
      </c>
      <c r="I71" s="9" t="s">
        <v>245</v>
      </c>
      <c r="J71" s="6" t="s">
        <v>28</v>
      </c>
      <c r="K71" s="6" t="s">
        <v>288</v>
      </c>
      <c r="L71" s="14" t="s">
        <v>289</v>
      </c>
      <c r="M71" s="6" t="s">
        <v>290</v>
      </c>
      <c r="N71" s="6" t="s">
        <v>38</v>
      </c>
      <c r="O71" s="6" t="s">
        <v>38</v>
      </c>
      <c r="P71" s="12" t="str">
        <f t="shared" si="1"/>
        <v>Igual</v>
      </c>
    </row>
    <row r="72">
      <c r="A72" s="8">
        <v>37.0</v>
      </c>
      <c r="B72" s="6" t="s">
        <v>29</v>
      </c>
      <c r="C72" s="6" t="s">
        <v>291</v>
      </c>
      <c r="D72" s="6" t="s">
        <v>292</v>
      </c>
      <c r="E72" s="7" t="s">
        <v>293</v>
      </c>
      <c r="F72" s="8">
        <v>2025.0</v>
      </c>
      <c r="G72" s="9" t="s">
        <v>294</v>
      </c>
      <c r="H72" s="6" t="s">
        <v>295</v>
      </c>
      <c r="I72" s="9" t="s">
        <v>245</v>
      </c>
      <c r="J72" s="6" t="s">
        <v>24</v>
      </c>
      <c r="K72" s="6" t="s">
        <v>296</v>
      </c>
      <c r="L72" s="14" t="s">
        <v>297</v>
      </c>
      <c r="M72" s="6" t="s">
        <v>298</v>
      </c>
      <c r="N72" s="6" t="s">
        <v>38</v>
      </c>
      <c r="O72" s="6" t="s">
        <v>38</v>
      </c>
      <c r="P72" s="12" t="str">
        <f t="shared" si="1"/>
        <v>Igual</v>
      </c>
    </row>
    <row r="73">
      <c r="A73" s="8">
        <v>37.0</v>
      </c>
      <c r="B73" s="6" t="s">
        <v>29</v>
      </c>
      <c r="C73" s="6" t="s">
        <v>291</v>
      </c>
      <c r="D73" s="6" t="s">
        <v>292</v>
      </c>
      <c r="E73" s="7" t="s">
        <v>293</v>
      </c>
      <c r="F73" s="8">
        <v>2025.0</v>
      </c>
      <c r="G73" s="9" t="s">
        <v>294</v>
      </c>
      <c r="H73" s="6" t="s">
        <v>295</v>
      </c>
      <c r="I73" s="9" t="s">
        <v>245</v>
      </c>
      <c r="J73" s="6" t="s">
        <v>26</v>
      </c>
      <c r="K73" s="6" t="s">
        <v>299</v>
      </c>
      <c r="L73" s="14" t="s">
        <v>300</v>
      </c>
      <c r="M73" s="6" t="s">
        <v>301</v>
      </c>
      <c r="N73" s="6" t="s">
        <v>38</v>
      </c>
      <c r="O73" s="6" t="s">
        <v>38</v>
      </c>
      <c r="P73" s="12" t="str">
        <f t="shared" si="1"/>
        <v>Igual</v>
      </c>
    </row>
    <row r="74">
      <c r="A74" s="8">
        <v>37.0</v>
      </c>
      <c r="B74" s="6" t="s">
        <v>29</v>
      </c>
      <c r="C74" s="6" t="s">
        <v>291</v>
      </c>
      <c r="D74" s="6" t="s">
        <v>292</v>
      </c>
      <c r="E74" s="7" t="s">
        <v>293</v>
      </c>
      <c r="F74" s="8">
        <v>2025.0</v>
      </c>
      <c r="G74" s="9" t="s">
        <v>294</v>
      </c>
      <c r="H74" s="6" t="s">
        <v>295</v>
      </c>
      <c r="I74" s="9" t="s">
        <v>245</v>
      </c>
      <c r="J74" s="6" t="s">
        <v>27</v>
      </c>
      <c r="K74" s="6" t="s">
        <v>302</v>
      </c>
      <c r="L74" s="14" t="s">
        <v>303</v>
      </c>
      <c r="M74" s="6" t="s">
        <v>304</v>
      </c>
      <c r="N74" s="6" t="s">
        <v>38</v>
      </c>
      <c r="O74" s="6" t="s">
        <v>38</v>
      </c>
      <c r="P74" s="12" t="str">
        <f t="shared" si="1"/>
        <v>Igual</v>
      </c>
    </row>
    <row r="75">
      <c r="A75" s="8">
        <v>37.0</v>
      </c>
      <c r="B75" s="6" t="s">
        <v>29</v>
      </c>
      <c r="C75" s="6" t="s">
        <v>291</v>
      </c>
      <c r="D75" s="6" t="s">
        <v>292</v>
      </c>
      <c r="E75" s="7" t="s">
        <v>293</v>
      </c>
      <c r="F75" s="8">
        <v>2025.0</v>
      </c>
      <c r="G75" s="9" t="s">
        <v>294</v>
      </c>
      <c r="H75" s="6" t="s">
        <v>295</v>
      </c>
      <c r="I75" s="9" t="s">
        <v>245</v>
      </c>
      <c r="J75" s="6" t="s">
        <v>28</v>
      </c>
      <c r="K75" s="6" t="s">
        <v>305</v>
      </c>
      <c r="L75" s="14" t="s">
        <v>306</v>
      </c>
      <c r="M75" s="6" t="s">
        <v>307</v>
      </c>
      <c r="N75" s="6" t="s">
        <v>38</v>
      </c>
      <c r="O75" s="6" t="s">
        <v>38</v>
      </c>
      <c r="P75" s="12" t="str">
        <f t="shared" si="1"/>
        <v>Igual</v>
      </c>
    </row>
    <row r="76">
      <c r="A76" s="8">
        <v>40.0</v>
      </c>
      <c r="B76" s="6" t="s">
        <v>29</v>
      </c>
      <c r="C76" s="6" t="s">
        <v>291</v>
      </c>
      <c r="D76" s="6" t="s">
        <v>308</v>
      </c>
      <c r="E76" s="7" t="s">
        <v>309</v>
      </c>
      <c r="F76" s="8">
        <v>2025.0</v>
      </c>
      <c r="G76" s="9" t="s">
        <v>310</v>
      </c>
      <c r="H76" s="6" t="s">
        <v>311</v>
      </c>
      <c r="I76" s="9" t="s">
        <v>245</v>
      </c>
      <c r="J76" s="6" t="s">
        <v>24</v>
      </c>
      <c r="K76" s="6" t="s">
        <v>312</v>
      </c>
      <c r="L76" s="14" t="s">
        <v>313</v>
      </c>
      <c r="M76" s="6" t="s">
        <v>314</v>
      </c>
      <c r="N76" s="6" t="s">
        <v>38</v>
      </c>
      <c r="O76" s="6" t="s">
        <v>315</v>
      </c>
      <c r="P76" s="12" t="str">
        <f t="shared" si="1"/>
        <v>Diferente</v>
      </c>
      <c r="Q76" s="6" t="s">
        <v>316</v>
      </c>
    </row>
    <row r="77">
      <c r="A77" s="8">
        <v>40.0</v>
      </c>
      <c r="B77" s="6" t="s">
        <v>29</v>
      </c>
      <c r="C77" s="6" t="s">
        <v>291</v>
      </c>
      <c r="D77" s="6" t="s">
        <v>308</v>
      </c>
      <c r="E77" s="7" t="s">
        <v>309</v>
      </c>
      <c r="F77" s="8">
        <v>2025.0</v>
      </c>
      <c r="G77" s="9" t="s">
        <v>310</v>
      </c>
      <c r="H77" s="6" t="s">
        <v>311</v>
      </c>
      <c r="I77" s="9" t="s">
        <v>245</v>
      </c>
      <c r="J77" s="6" t="s">
        <v>26</v>
      </c>
      <c r="K77" s="6" t="s">
        <v>317</v>
      </c>
      <c r="L77" s="14" t="s">
        <v>318</v>
      </c>
      <c r="M77" s="6" t="s">
        <v>319</v>
      </c>
      <c r="N77" s="6" t="s">
        <v>38</v>
      </c>
      <c r="O77" s="6" t="s">
        <v>38</v>
      </c>
      <c r="P77" s="12" t="str">
        <f t="shared" si="1"/>
        <v>Igual</v>
      </c>
    </row>
    <row r="78">
      <c r="A78" s="8">
        <v>40.0</v>
      </c>
      <c r="B78" s="6" t="s">
        <v>29</v>
      </c>
      <c r="C78" s="6" t="s">
        <v>291</v>
      </c>
      <c r="D78" s="6" t="s">
        <v>308</v>
      </c>
      <c r="E78" s="7" t="s">
        <v>309</v>
      </c>
      <c r="F78" s="8">
        <v>2025.0</v>
      </c>
      <c r="G78" s="9" t="s">
        <v>310</v>
      </c>
      <c r="H78" s="6" t="s">
        <v>311</v>
      </c>
      <c r="I78" s="9" t="s">
        <v>245</v>
      </c>
      <c r="J78" s="6" t="s">
        <v>27</v>
      </c>
      <c r="K78" s="6" t="s">
        <v>320</v>
      </c>
      <c r="L78" s="17"/>
      <c r="M78" s="6" t="s">
        <v>321</v>
      </c>
      <c r="N78" s="6" t="s">
        <v>38</v>
      </c>
      <c r="O78" s="6" t="s">
        <v>38</v>
      </c>
      <c r="P78" s="12" t="str">
        <f t="shared" si="1"/>
        <v>Igual</v>
      </c>
    </row>
    <row r="79">
      <c r="A79" s="8">
        <v>40.0</v>
      </c>
      <c r="B79" s="6" t="s">
        <v>29</v>
      </c>
      <c r="C79" s="6" t="s">
        <v>291</v>
      </c>
      <c r="D79" s="6" t="s">
        <v>308</v>
      </c>
      <c r="E79" s="7" t="s">
        <v>309</v>
      </c>
      <c r="F79" s="8">
        <v>2025.0</v>
      </c>
      <c r="G79" s="9" t="s">
        <v>310</v>
      </c>
      <c r="H79" s="6" t="s">
        <v>311</v>
      </c>
      <c r="I79" s="9" t="s">
        <v>245</v>
      </c>
      <c r="J79" s="6" t="s">
        <v>28</v>
      </c>
      <c r="K79" s="6" t="s">
        <v>322</v>
      </c>
      <c r="L79" s="14" t="s">
        <v>323</v>
      </c>
      <c r="M79" s="6" t="s">
        <v>324</v>
      </c>
      <c r="N79" s="6" t="s">
        <v>38</v>
      </c>
      <c r="O79" s="6" t="s">
        <v>38</v>
      </c>
      <c r="P79" s="12" t="str">
        <f t="shared" si="1"/>
        <v>Igual</v>
      </c>
    </row>
    <row r="80">
      <c r="A80" s="8">
        <v>43.0</v>
      </c>
      <c r="B80" s="6" t="s">
        <v>100</v>
      </c>
      <c r="C80" s="6" t="s">
        <v>162</v>
      </c>
      <c r="D80" s="6" t="s">
        <v>325</v>
      </c>
      <c r="E80" s="7" t="s">
        <v>326</v>
      </c>
      <c r="F80" s="8">
        <v>2020.0</v>
      </c>
      <c r="G80" s="9" t="s">
        <v>327</v>
      </c>
      <c r="H80" s="6" t="s">
        <v>162</v>
      </c>
      <c r="I80" s="9" t="s">
        <v>245</v>
      </c>
      <c r="J80" s="6" t="s">
        <v>24</v>
      </c>
      <c r="K80" s="6" t="s">
        <v>328</v>
      </c>
      <c r="L80" s="14" t="s">
        <v>329</v>
      </c>
      <c r="M80" s="6" t="s">
        <v>330</v>
      </c>
      <c r="N80" s="6" t="s">
        <v>38</v>
      </c>
      <c r="O80" s="6" t="s">
        <v>38</v>
      </c>
      <c r="P80" s="12" t="str">
        <f t="shared" si="1"/>
        <v>Igual</v>
      </c>
    </row>
    <row r="81">
      <c r="A81" s="8">
        <v>43.0</v>
      </c>
      <c r="B81" s="6" t="s">
        <v>100</v>
      </c>
      <c r="C81" s="6" t="s">
        <v>162</v>
      </c>
      <c r="D81" s="6" t="s">
        <v>325</v>
      </c>
      <c r="E81" s="7" t="s">
        <v>326</v>
      </c>
      <c r="F81" s="8">
        <v>2020.0</v>
      </c>
      <c r="G81" s="9" t="s">
        <v>327</v>
      </c>
      <c r="H81" s="6" t="s">
        <v>162</v>
      </c>
      <c r="I81" s="9" t="s">
        <v>245</v>
      </c>
      <c r="J81" s="6" t="s">
        <v>26</v>
      </c>
      <c r="K81" s="6" t="s">
        <v>331</v>
      </c>
      <c r="L81" s="14" t="s">
        <v>332</v>
      </c>
      <c r="M81" s="6" t="s">
        <v>333</v>
      </c>
      <c r="N81" s="6" t="s">
        <v>38</v>
      </c>
      <c r="O81" s="6" t="s">
        <v>38</v>
      </c>
      <c r="P81" s="12" t="str">
        <f t="shared" si="1"/>
        <v>Igual</v>
      </c>
    </row>
    <row r="82">
      <c r="A82" s="8">
        <v>43.0</v>
      </c>
      <c r="B82" s="6" t="s">
        <v>100</v>
      </c>
      <c r="C82" s="6" t="s">
        <v>162</v>
      </c>
      <c r="D82" s="6" t="s">
        <v>325</v>
      </c>
      <c r="E82" s="7" t="s">
        <v>326</v>
      </c>
      <c r="F82" s="8">
        <v>2020.0</v>
      </c>
      <c r="G82" s="9" t="s">
        <v>327</v>
      </c>
      <c r="H82" s="6" t="s">
        <v>162</v>
      </c>
      <c r="I82" s="9" t="s">
        <v>245</v>
      </c>
      <c r="J82" s="6" t="s">
        <v>27</v>
      </c>
      <c r="K82" s="6" t="s">
        <v>334</v>
      </c>
      <c r="L82" s="14" t="s">
        <v>335</v>
      </c>
      <c r="M82" s="6" t="s">
        <v>336</v>
      </c>
      <c r="N82" s="6" t="s">
        <v>38</v>
      </c>
      <c r="O82" s="6" t="s">
        <v>38</v>
      </c>
      <c r="P82" s="12" t="str">
        <f t="shared" si="1"/>
        <v>Igual</v>
      </c>
    </row>
    <row r="83">
      <c r="A83" s="8">
        <v>43.0</v>
      </c>
      <c r="B83" s="6" t="s">
        <v>100</v>
      </c>
      <c r="C83" s="6" t="s">
        <v>162</v>
      </c>
      <c r="D83" s="6" t="s">
        <v>325</v>
      </c>
      <c r="E83" s="7" t="s">
        <v>326</v>
      </c>
      <c r="F83" s="8">
        <v>2020.0</v>
      </c>
      <c r="G83" s="9" t="s">
        <v>327</v>
      </c>
      <c r="H83" s="6" t="s">
        <v>162</v>
      </c>
      <c r="I83" s="9" t="s">
        <v>245</v>
      </c>
      <c r="J83" s="6" t="s">
        <v>28</v>
      </c>
      <c r="K83" s="6" t="s">
        <v>337</v>
      </c>
      <c r="L83" s="14" t="s">
        <v>338</v>
      </c>
      <c r="M83" s="6" t="s">
        <v>339</v>
      </c>
      <c r="N83" s="6" t="s">
        <v>38</v>
      </c>
      <c r="O83" s="6" t="s">
        <v>38</v>
      </c>
      <c r="P83" s="12" t="str">
        <f t="shared" si="1"/>
        <v>Igual</v>
      </c>
    </row>
    <row r="84">
      <c r="A84" s="8">
        <v>44.0</v>
      </c>
      <c r="B84" s="6" t="s">
        <v>100</v>
      </c>
      <c r="C84" s="6" t="s">
        <v>340</v>
      </c>
      <c r="D84" s="6" t="s">
        <v>341</v>
      </c>
      <c r="E84" s="7" t="s">
        <v>342</v>
      </c>
      <c r="F84" s="8">
        <v>2020.0</v>
      </c>
      <c r="G84" s="9" t="s">
        <v>343</v>
      </c>
      <c r="H84" s="6" t="s">
        <v>344</v>
      </c>
      <c r="I84" s="9" t="s">
        <v>245</v>
      </c>
      <c r="J84" s="6" t="s">
        <v>24</v>
      </c>
      <c r="K84" s="6" t="s">
        <v>345</v>
      </c>
      <c r="L84" s="14" t="s">
        <v>346</v>
      </c>
      <c r="M84" s="6" t="s">
        <v>347</v>
      </c>
      <c r="N84" s="6" t="s">
        <v>38</v>
      </c>
      <c r="O84" s="6" t="s">
        <v>38</v>
      </c>
      <c r="P84" s="12" t="str">
        <f t="shared" si="1"/>
        <v>Igual</v>
      </c>
    </row>
    <row r="85">
      <c r="A85" s="8">
        <v>44.0</v>
      </c>
      <c r="B85" s="6" t="s">
        <v>100</v>
      </c>
      <c r="C85" s="6" t="s">
        <v>340</v>
      </c>
      <c r="D85" s="6" t="s">
        <v>341</v>
      </c>
      <c r="E85" s="7" t="s">
        <v>342</v>
      </c>
      <c r="F85" s="8">
        <v>2020.0</v>
      </c>
      <c r="G85" s="9" t="s">
        <v>343</v>
      </c>
      <c r="H85" s="6" t="s">
        <v>344</v>
      </c>
      <c r="I85" s="9" t="s">
        <v>245</v>
      </c>
      <c r="J85" s="6" t="s">
        <v>26</v>
      </c>
      <c r="K85" s="6" t="s">
        <v>348</v>
      </c>
      <c r="L85" s="14" t="s">
        <v>349</v>
      </c>
      <c r="M85" s="6" t="s">
        <v>350</v>
      </c>
      <c r="N85" s="6" t="s">
        <v>38</v>
      </c>
      <c r="O85" s="6" t="s">
        <v>38</v>
      </c>
      <c r="P85" s="12" t="str">
        <f t="shared" si="1"/>
        <v>Igual</v>
      </c>
    </row>
    <row r="86">
      <c r="A86" s="8">
        <v>44.0</v>
      </c>
      <c r="B86" s="6" t="s">
        <v>100</v>
      </c>
      <c r="C86" s="6" t="s">
        <v>340</v>
      </c>
      <c r="D86" s="6" t="s">
        <v>341</v>
      </c>
      <c r="E86" s="7" t="s">
        <v>342</v>
      </c>
      <c r="F86" s="8">
        <v>2020.0</v>
      </c>
      <c r="G86" s="9" t="s">
        <v>343</v>
      </c>
      <c r="H86" s="6" t="s">
        <v>344</v>
      </c>
      <c r="I86" s="9" t="s">
        <v>245</v>
      </c>
      <c r="J86" s="6" t="s">
        <v>27</v>
      </c>
      <c r="K86" s="6" t="s">
        <v>351</v>
      </c>
      <c r="L86" s="14" t="s">
        <v>352</v>
      </c>
      <c r="M86" s="6" t="s">
        <v>353</v>
      </c>
      <c r="N86" s="6" t="s">
        <v>38</v>
      </c>
      <c r="O86" s="6" t="s">
        <v>38</v>
      </c>
      <c r="P86" s="12" t="str">
        <f t="shared" si="1"/>
        <v>Igual</v>
      </c>
    </row>
    <row r="87">
      <c r="A87" s="8">
        <v>44.0</v>
      </c>
      <c r="B87" s="6" t="s">
        <v>100</v>
      </c>
      <c r="C87" s="6" t="s">
        <v>340</v>
      </c>
      <c r="D87" s="6" t="s">
        <v>341</v>
      </c>
      <c r="E87" s="7" t="s">
        <v>342</v>
      </c>
      <c r="F87" s="8">
        <v>2020.0</v>
      </c>
      <c r="G87" s="9" t="s">
        <v>343</v>
      </c>
      <c r="H87" s="6" t="s">
        <v>344</v>
      </c>
      <c r="I87" s="9" t="s">
        <v>245</v>
      </c>
      <c r="J87" s="6" t="s">
        <v>28</v>
      </c>
      <c r="K87" s="6" t="s">
        <v>354</v>
      </c>
      <c r="L87" s="14" t="s">
        <v>355</v>
      </c>
      <c r="M87" s="6" t="s">
        <v>356</v>
      </c>
      <c r="N87" s="6" t="s">
        <v>38</v>
      </c>
      <c r="O87" s="6" t="s">
        <v>38</v>
      </c>
      <c r="P87" s="12" t="str">
        <f t="shared" si="1"/>
        <v>Igual</v>
      </c>
    </row>
    <row r="88">
      <c r="A88" s="8">
        <v>52.0</v>
      </c>
      <c r="B88" s="6" t="s">
        <v>100</v>
      </c>
      <c r="C88" s="6" t="s">
        <v>116</v>
      </c>
      <c r="D88" s="6" t="s">
        <v>179</v>
      </c>
      <c r="E88" s="18" t="s">
        <v>357</v>
      </c>
      <c r="F88" s="8">
        <v>2025.0</v>
      </c>
      <c r="G88" s="19" t="s">
        <v>358</v>
      </c>
      <c r="H88" s="6" t="s">
        <v>116</v>
      </c>
      <c r="I88" s="19" t="s">
        <v>245</v>
      </c>
      <c r="J88" s="6" t="s">
        <v>24</v>
      </c>
      <c r="K88" s="6" t="s">
        <v>359</v>
      </c>
      <c r="L88" s="14" t="s">
        <v>360</v>
      </c>
      <c r="M88" s="6" t="s">
        <v>361</v>
      </c>
      <c r="N88" s="6" t="s">
        <v>38</v>
      </c>
      <c r="O88" s="6" t="s">
        <v>38</v>
      </c>
      <c r="P88" s="12" t="str">
        <f t="shared" si="1"/>
        <v>Igual</v>
      </c>
    </row>
    <row r="89">
      <c r="A89" s="8">
        <v>52.0</v>
      </c>
      <c r="B89" s="6" t="s">
        <v>100</v>
      </c>
      <c r="C89" s="6" t="s">
        <v>116</v>
      </c>
      <c r="D89" s="6" t="s">
        <v>179</v>
      </c>
      <c r="E89" s="18" t="s">
        <v>357</v>
      </c>
      <c r="F89" s="8">
        <v>2025.0</v>
      </c>
      <c r="G89" s="19" t="s">
        <v>358</v>
      </c>
      <c r="H89" s="6" t="s">
        <v>116</v>
      </c>
      <c r="I89" s="19" t="s">
        <v>245</v>
      </c>
      <c r="J89" s="6" t="s">
        <v>26</v>
      </c>
      <c r="K89" s="6" t="s">
        <v>362</v>
      </c>
      <c r="L89" s="14" t="s">
        <v>363</v>
      </c>
      <c r="M89" s="6" t="s">
        <v>364</v>
      </c>
      <c r="N89" s="6" t="s">
        <v>38</v>
      </c>
      <c r="O89" s="6" t="s">
        <v>38</v>
      </c>
      <c r="P89" s="12" t="str">
        <f t="shared" si="1"/>
        <v>Igual</v>
      </c>
    </row>
    <row r="90">
      <c r="A90" s="8">
        <v>52.0</v>
      </c>
      <c r="B90" s="6" t="s">
        <v>100</v>
      </c>
      <c r="C90" s="6" t="s">
        <v>116</v>
      </c>
      <c r="D90" s="6" t="s">
        <v>179</v>
      </c>
      <c r="E90" s="18" t="s">
        <v>357</v>
      </c>
      <c r="F90" s="8">
        <v>2025.0</v>
      </c>
      <c r="G90" s="19" t="s">
        <v>358</v>
      </c>
      <c r="H90" s="6" t="s">
        <v>116</v>
      </c>
      <c r="I90" s="19" t="s">
        <v>245</v>
      </c>
      <c r="J90" s="6" t="s">
        <v>27</v>
      </c>
      <c r="K90" s="6" t="s">
        <v>365</v>
      </c>
      <c r="L90" s="14" t="s">
        <v>366</v>
      </c>
      <c r="M90" s="6" t="s">
        <v>367</v>
      </c>
      <c r="N90" s="6" t="s">
        <v>38</v>
      </c>
      <c r="O90" s="6" t="s">
        <v>38</v>
      </c>
      <c r="P90" s="12" t="str">
        <f t="shared" si="1"/>
        <v>Igual</v>
      </c>
    </row>
    <row r="91">
      <c r="A91" s="8">
        <v>52.0</v>
      </c>
      <c r="B91" s="6" t="s">
        <v>100</v>
      </c>
      <c r="C91" s="6" t="s">
        <v>116</v>
      </c>
      <c r="D91" s="6" t="s">
        <v>179</v>
      </c>
      <c r="E91" s="18" t="s">
        <v>357</v>
      </c>
      <c r="F91" s="8">
        <v>2025.0</v>
      </c>
      <c r="G91" s="19" t="s">
        <v>358</v>
      </c>
      <c r="H91" s="6" t="s">
        <v>116</v>
      </c>
      <c r="I91" s="19" t="s">
        <v>245</v>
      </c>
      <c r="J91" s="6" t="s">
        <v>28</v>
      </c>
      <c r="K91" s="6" t="s">
        <v>368</v>
      </c>
      <c r="L91" s="14" t="s">
        <v>369</v>
      </c>
      <c r="M91" s="6" t="s">
        <v>370</v>
      </c>
      <c r="N91" s="6" t="s">
        <v>38</v>
      </c>
      <c r="O91" s="6" t="s">
        <v>38</v>
      </c>
      <c r="P91" s="12" t="str">
        <f t="shared" si="1"/>
        <v>Igual</v>
      </c>
    </row>
    <row r="92">
      <c r="A92" s="8">
        <v>53.0</v>
      </c>
      <c r="B92" s="6" t="s">
        <v>100</v>
      </c>
      <c r="C92" s="6" t="s">
        <v>30</v>
      </c>
      <c r="D92" s="6" t="s">
        <v>371</v>
      </c>
      <c r="E92" s="18" t="s">
        <v>372</v>
      </c>
      <c r="F92" s="8">
        <v>2025.0</v>
      </c>
      <c r="G92" s="19" t="s">
        <v>373</v>
      </c>
      <c r="H92" s="6" t="s">
        <v>30</v>
      </c>
      <c r="I92" s="19" t="s">
        <v>245</v>
      </c>
      <c r="J92" s="6" t="s">
        <v>24</v>
      </c>
      <c r="K92" s="6" t="s">
        <v>374</v>
      </c>
      <c r="L92" s="14" t="s">
        <v>375</v>
      </c>
      <c r="M92" s="6" t="s">
        <v>376</v>
      </c>
      <c r="N92" s="6" t="s">
        <v>38</v>
      </c>
      <c r="O92" s="6" t="s">
        <v>38</v>
      </c>
      <c r="P92" s="12" t="str">
        <f t="shared" si="1"/>
        <v>Igual</v>
      </c>
    </row>
    <row r="93">
      <c r="A93" s="8">
        <v>53.0</v>
      </c>
      <c r="B93" s="6" t="s">
        <v>100</v>
      </c>
      <c r="C93" s="6" t="s">
        <v>30</v>
      </c>
      <c r="D93" s="6" t="s">
        <v>371</v>
      </c>
      <c r="E93" s="18" t="s">
        <v>372</v>
      </c>
      <c r="F93" s="8">
        <v>2025.0</v>
      </c>
      <c r="G93" s="19" t="s">
        <v>373</v>
      </c>
      <c r="H93" s="6" t="s">
        <v>30</v>
      </c>
      <c r="I93" s="19" t="s">
        <v>245</v>
      </c>
      <c r="J93" s="6" t="s">
        <v>26</v>
      </c>
      <c r="K93" s="6" t="s">
        <v>377</v>
      </c>
      <c r="L93" s="14" t="s">
        <v>378</v>
      </c>
      <c r="M93" s="6" t="s">
        <v>379</v>
      </c>
      <c r="N93" s="6" t="s">
        <v>38</v>
      </c>
      <c r="O93" s="6" t="s">
        <v>38</v>
      </c>
      <c r="P93" s="12" t="str">
        <f t="shared" si="1"/>
        <v>Igual</v>
      </c>
    </row>
    <row r="94">
      <c r="A94" s="8">
        <v>53.0</v>
      </c>
      <c r="B94" s="6" t="s">
        <v>100</v>
      </c>
      <c r="C94" s="6" t="s">
        <v>30</v>
      </c>
      <c r="D94" s="6" t="s">
        <v>371</v>
      </c>
      <c r="E94" s="18" t="s">
        <v>372</v>
      </c>
      <c r="F94" s="8">
        <v>2025.0</v>
      </c>
      <c r="G94" s="19" t="s">
        <v>373</v>
      </c>
      <c r="H94" s="6" t="s">
        <v>30</v>
      </c>
      <c r="I94" s="19" t="s">
        <v>245</v>
      </c>
      <c r="J94" s="6" t="s">
        <v>27</v>
      </c>
      <c r="K94" s="6" t="s">
        <v>380</v>
      </c>
      <c r="L94" s="14" t="s">
        <v>381</v>
      </c>
      <c r="M94" s="6" t="s">
        <v>382</v>
      </c>
      <c r="N94" s="6" t="s">
        <v>38</v>
      </c>
      <c r="O94" s="6" t="s">
        <v>38</v>
      </c>
      <c r="P94" s="12" t="str">
        <f t="shared" si="1"/>
        <v>Igual</v>
      </c>
    </row>
    <row r="95">
      <c r="A95" s="8">
        <v>53.0</v>
      </c>
      <c r="B95" s="6" t="s">
        <v>100</v>
      </c>
      <c r="C95" s="6" t="s">
        <v>30</v>
      </c>
      <c r="D95" s="6" t="s">
        <v>371</v>
      </c>
      <c r="E95" s="18" t="s">
        <v>372</v>
      </c>
      <c r="F95" s="8">
        <v>2025.0</v>
      </c>
      <c r="G95" s="19" t="s">
        <v>373</v>
      </c>
      <c r="H95" s="6" t="s">
        <v>30</v>
      </c>
      <c r="I95" s="19" t="s">
        <v>245</v>
      </c>
      <c r="J95" s="6" t="s">
        <v>28</v>
      </c>
      <c r="K95" s="6" t="s">
        <v>383</v>
      </c>
      <c r="L95" s="14" t="s">
        <v>384</v>
      </c>
      <c r="M95" s="6" t="s">
        <v>385</v>
      </c>
      <c r="N95" s="6" t="s">
        <v>38</v>
      </c>
      <c r="O95" s="6" t="s">
        <v>38</v>
      </c>
      <c r="P95" s="12" t="str">
        <f t="shared" si="1"/>
        <v>Igual</v>
      </c>
    </row>
    <row r="96">
      <c r="A96" s="8">
        <v>54.0</v>
      </c>
      <c r="B96" s="6" t="s">
        <v>100</v>
      </c>
      <c r="C96" s="6" t="s">
        <v>30</v>
      </c>
      <c r="D96" s="6" t="s">
        <v>386</v>
      </c>
      <c r="E96" s="18" t="s">
        <v>387</v>
      </c>
      <c r="F96" s="8">
        <v>2025.0</v>
      </c>
      <c r="G96" s="19" t="s">
        <v>388</v>
      </c>
      <c r="H96" s="6" t="s">
        <v>30</v>
      </c>
      <c r="I96" s="19" t="s">
        <v>245</v>
      </c>
      <c r="J96" s="6" t="s">
        <v>24</v>
      </c>
      <c r="K96" s="6" t="s">
        <v>389</v>
      </c>
      <c r="L96" s="14" t="s">
        <v>390</v>
      </c>
      <c r="M96" s="6" t="s">
        <v>391</v>
      </c>
      <c r="N96" s="6" t="s">
        <v>38</v>
      </c>
      <c r="O96" s="6" t="s">
        <v>38</v>
      </c>
      <c r="P96" s="12" t="str">
        <f t="shared" si="1"/>
        <v>Igual</v>
      </c>
    </row>
    <row r="97">
      <c r="A97" s="8">
        <v>54.0</v>
      </c>
      <c r="B97" s="6" t="s">
        <v>100</v>
      </c>
      <c r="C97" s="6" t="s">
        <v>30</v>
      </c>
      <c r="D97" s="6" t="s">
        <v>386</v>
      </c>
      <c r="E97" s="18" t="s">
        <v>387</v>
      </c>
      <c r="F97" s="8">
        <v>2025.0</v>
      </c>
      <c r="G97" s="19" t="s">
        <v>388</v>
      </c>
      <c r="H97" s="6" t="s">
        <v>30</v>
      </c>
      <c r="I97" s="19" t="s">
        <v>245</v>
      </c>
      <c r="J97" s="6" t="s">
        <v>26</v>
      </c>
      <c r="K97" s="6" t="s">
        <v>392</v>
      </c>
      <c r="L97" s="15" t="s">
        <v>393</v>
      </c>
      <c r="M97" s="6" t="s">
        <v>394</v>
      </c>
      <c r="N97" s="6" t="s">
        <v>38</v>
      </c>
      <c r="O97" s="6" t="s">
        <v>38</v>
      </c>
      <c r="P97" s="12" t="str">
        <f t="shared" si="1"/>
        <v>Igual</v>
      </c>
    </row>
    <row r="98">
      <c r="A98" s="8">
        <v>54.0</v>
      </c>
      <c r="B98" s="6" t="s">
        <v>100</v>
      </c>
      <c r="C98" s="6" t="s">
        <v>30</v>
      </c>
      <c r="D98" s="6" t="s">
        <v>386</v>
      </c>
      <c r="E98" s="18" t="s">
        <v>387</v>
      </c>
      <c r="F98" s="8">
        <v>2025.0</v>
      </c>
      <c r="G98" s="19" t="s">
        <v>388</v>
      </c>
      <c r="H98" s="6" t="s">
        <v>30</v>
      </c>
      <c r="I98" s="19" t="s">
        <v>245</v>
      </c>
      <c r="J98" s="6" t="s">
        <v>27</v>
      </c>
      <c r="K98" s="6" t="s">
        <v>395</v>
      </c>
      <c r="L98" s="14" t="s">
        <v>396</v>
      </c>
      <c r="M98" s="6" t="s">
        <v>397</v>
      </c>
      <c r="N98" s="6" t="s">
        <v>38</v>
      </c>
      <c r="O98" s="6" t="s">
        <v>38</v>
      </c>
      <c r="P98" s="12" t="str">
        <f t="shared" si="1"/>
        <v>Igual</v>
      </c>
    </row>
    <row r="99">
      <c r="A99" s="8">
        <v>54.0</v>
      </c>
      <c r="B99" s="6" t="s">
        <v>100</v>
      </c>
      <c r="C99" s="6" t="s">
        <v>30</v>
      </c>
      <c r="D99" s="6" t="s">
        <v>386</v>
      </c>
      <c r="E99" s="18" t="s">
        <v>387</v>
      </c>
      <c r="F99" s="8">
        <v>2025.0</v>
      </c>
      <c r="G99" s="19" t="s">
        <v>388</v>
      </c>
      <c r="H99" s="6" t="s">
        <v>30</v>
      </c>
      <c r="I99" s="19" t="s">
        <v>245</v>
      </c>
      <c r="J99" s="6" t="s">
        <v>28</v>
      </c>
      <c r="K99" s="6" t="s">
        <v>398</v>
      </c>
      <c r="L99" s="14" t="s">
        <v>399</v>
      </c>
      <c r="M99" s="6" t="s">
        <v>400</v>
      </c>
      <c r="N99" s="6" t="s">
        <v>38</v>
      </c>
      <c r="O99" s="6" t="s">
        <v>38</v>
      </c>
      <c r="P99" s="12" t="str">
        <f t="shared" si="1"/>
        <v>Igual</v>
      </c>
    </row>
    <row r="100">
      <c r="A100" s="8">
        <v>58.0</v>
      </c>
      <c r="B100" s="6" t="s">
        <v>100</v>
      </c>
      <c r="C100" s="6" t="s">
        <v>30</v>
      </c>
      <c r="D100" s="6" t="s">
        <v>194</v>
      </c>
      <c r="E100" s="18" t="s">
        <v>401</v>
      </c>
      <c r="F100" s="8">
        <v>2025.0</v>
      </c>
      <c r="G100" s="19" t="s">
        <v>402</v>
      </c>
      <c r="H100" s="6" t="s">
        <v>30</v>
      </c>
      <c r="I100" s="19" t="s">
        <v>245</v>
      </c>
      <c r="J100" s="6" t="s">
        <v>24</v>
      </c>
      <c r="K100" s="6" t="s">
        <v>403</v>
      </c>
      <c r="L100" s="14" t="s">
        <v>404</v>
      </c>
      <c r="M100" s="6" t="s">
        <v>405</v>
      </c>
      <c r="N100" s="6" t="s">
        <v>38</v>
      </c>
      <c r="O100" s="6" t="s">
        <v>38</v>
      </c>
      <c r="P100" s="12" t="str">
        <f t="shared" si="1"/>
        <v>Igual</v>
      </c>
    </row>
    <row r="101">
      <c r="A101" s="8">
        <v>58.0</v>
      </c>
      <c r="B101" s="6" t="s">
        <v>100</v>
      </c>
      <c r="C101" s="6" t="s">
        <v>30</v>
      </c>
      <c r="D101" s="6" t="s">
        <v>194</v>
      </c>
      <c r="E101" s="18" t="s">
        <v>401</v>
      </c>
      <c r="F101" s="8">
        <v>2025.0</v>
      </c>
      <c r="G101" s="19" t="s">
        <v>402</v>
      </c>
      <c r="H101" s="6" t="s">
        <v>30</v>
      </c>
      <c r="I101" s="19" t="s">
        <v>245</v>
      </c>
      <c r="J101" s="6" t="s">
        <v>26</v>
      </c>
      <c r="K101" s="6" t="s">
        <v>406</v>
      </c>
      <c r="L101" s="14" t="s">
        <v>201</v>
      </c>
      <c r="M101" s="6" t="s">
        <v>407</v>
      </c>
      <c r="N101" s="6" t="s">
        <v>38</v>
      </c>
      <c r="O101" s="6" t="s">
        <v>38</v>
      </c>
      <c r="P101" s="12" t="str">
        <f t="shared" si="1"/>
        <v>Igual</v>
      </c>
    </row>
    <row r="102">
      <c r="A102" s="8">
        <v>58.0</v>
      </c>
      <c r="B102" s="6" t="s">
        <v>100</v>
      </c>
      <c r="C102" s="6" t="s">
        <v>30</v>
      </c>
      <c r="D102" s="6" t="s">
        <v>194</v>
      </c>
      <c r="E102" s="18" t="s">
        <v>401</v>
      </c>
      <c r="F102" s="8">
        <v>2025.0</v>
      </c>
      <c r="G102" s="19" t="s">
        <v>402</v>
      </c>
      <c r="H102" s="6" t="s">
        <v>30</v>
      </c>
      <c r="I102" s="19" t="s">
        <v>245</v>
      </c>
      <c r="J102" s="6" t="s">
        <v>27</v>
      </c>
      <c r="K102" s="6" t="s">
        <v>408</v>
      </c>
      <c r="L102" s="14" t="s">
        <v>204</v>
      </c>
      <c r="M102" s="6" t="s">
        <v>409</v>
      </c>
      <c r="N102" s="6" t="s">
        <v>38</v>
      </c>
      <c r="O102" s="6" t="s">
        <v>38</v>
      </c>
      <c r="P102" s="12" t="str">
        <f t="shared" si="1"/>
        <v>Igual</v>
      </c>
    </row>
    <row r="103">
      <c r="A103" s="8">
        <v>58.0</v>
      </c>
      <c r="B103" s="6" t="s">
        <v>100</v>
      </c>
      <c r="C103" s="6" t="s">
        <v>30</v>
      </c>
      <c r="D103" s="6" t="s">
        <v>194</v>
      </c>
      <c r="E103" s="18" t="s">
        <v>401</v>
      </c>
      <c r="F103" s="8">
        <v>2025.0</v>
      </c>
      <c r="G103" s="19" t="s">
        <v>402</v>
      </c>
      <c r="H103" s="6" t="s">
        <v>30</v>
      </c>
      <c r="I103" s="19" t="s">
        <v>245</v>
      </c>
      <c r="J103" s="6" t="s">
        <v>28</v>
      </c>
      <c r="K103" s="6" t="s">
        <v>410</v>
      </c>
      <c r="L103" s="14" t="s">
        <v>207</v>
      </c>
      <c r="M103" s="6" t="s">
        <v>411</v>
      </c>
      <c r="N103" s="6" t="s">
        <v>38</v>
      </c>
      <c r="O103" s="6" t="s">
        <v>38</v>
      </c>
      <c r="P103" s="12" t="str">
        <f t="shared" si="1"/>
        <v>Igual</v>
      </c>
    </row>
    <row r="104">
      <c r="A104" s="8">
        <v>61.0</v>
      </c>
      <c r="B104" s="6" t="s">
        <v>100</v>
      </c>
      <c r="C104" s="6" t="s">
        <v>412</v>
      </c>
      <c r="D104" s="6" t="s">
        <v>210</v>
      </c>
      <c r="E104" s="18" t="s">
        <v>413</v>
      </c>
      <c r="F104" s="20">
        <v>2025.0</v>
      </c>
      <c r="G104" s="19" t="s">
        <v>414</v>
      </c>
      <c r="H104" s="6" t="s">
        <v>30</v>
      </c>
      <c r="I104" s="19" t="s">
        <v>245</v>
      </c>
      <c r="J104" s="6" t="s">
        <v>24</v>
      </c>
      <c r="K104" s="6" t="s">
        <v>415</v>
      </c>
      <c r="L104" s="14" t="s">
        <v>416</v>
      </c>
      <c r="M104" s="6" t="s">
        <v>417</v>
      </c>
      <c r="N104" s="6" t="s">
        <v>38</v>
      </c>
      <c r="O104" s="6" t="s">
        <v>38</v>
      </c>
      <c r="P104" s="12" t="str">
        <f t="shared" si="1"/>
        <v>Igual</v>
      </c>
    </row>
    <row r="105">
      <c r="A105" s="8">
        <v>61.0</v>
      </c>
      <c r="B105" s="6" t="s">
        <v>100</v>
      </c>
      <c r="C105" s="6" t="s">
        <v>412</v>
      </c>
      <c r="D105" s="6" t="s">
        <v>210</v>
      </c>
      <c r="E105" s="18" t="s">
        <v>413</v>
      </c>
      <c r="F105" s="20">
        <v>2025.0</v>
      </c>
      <c r="G105" s="19" t="s">
        <v>414</v>
      </c>
      <c r="H105" s="6" t="s">
        <v>30</v>
      </c>
      <c r="I105" s="19" t="s">
        <v>245</v>
      </c>
      <c r="J105" s="6" t="s">
        <v>26</v>
      </c>
      <c r="K105" s="6" t="s">
        <v>418</v>
      </c>
      <c r="L105" s="14" t="s">
        <v>217</v>
      </c>
      <c r="M105" s="6" t="s">
        <v>419</v>
      </c>
      <c r="N105" s="6" t="s">
        <v>38</v>
      </c>
      <c r="O105" s="6" t="s">
        <v>38</v>
      </c>
      <c r="P105" s="12" t="str">
        <f t="shared" si="1"/>
        <v>Igual</v>
      </c>
    </row>
    <row r="106">
      <c r="A106" s="8">
        <v>61.0</v>
      </c>
      <c r="B106" s="6" t="s">
        <v>100</v>
      </c>
      <c r="C106" s="6" t="s">
        <v>412</v>
      </c>
      <c r="D106" s="6" t="s">
        <v>210</v>
      </c>
      <c r="E106" s="18" t="s">
        <v>413</v>
      </c>
      <c r="F106" s="20">
        <v>2025.0</v>
      </c>
      <c r="G106" s="19" t="s">
        <v>414</v>
      </c>
      <c r="H106" s="6" t="s">
        <v>30</v>
      </c>
      <c r="I106" s="19" t="s">
        <v>245</v>
      </c>
      <c r="J106" s="6" t="s">
        <v>27</v>
      </c>
      <c r="K106" s="6" t="s">
        <v>420</v>
      </c>
      <c r="L106" s="14" t="s">
        <v>220</v>
      </c>
      <c r="M106" s="6" t="s">
        <v>421</v>
      </c>
      <c r="N106" s="6" t="s">
        <v>38</v>
      </c>
      <c r="O106" s="6" t="s">
        <v>38</v>
      </c>
      <c r="P106" s="12" t="str">
        <f t="shared" si="1"/>
        <v>Igual</v>
      </c>
    </row>
    <row r="107">
      <c r="A107" s="8">
        <v>61.0</v>
      </c>
      <c r="B107" s="6" t="s">
        <v>100</v>
      </c>
      <c r="C107" s="6" t="s">
        <v>412</v>
      </c>
      <c r="D107" s="6" t="s">
        <v>210</v>
      </c>
      <c r="E107" s="18" t="s">
        <v>413</v>
      </c>
      <c r="F107" s="20">
        <v>2025.0</v>
      </c>
      <c r="G107" s="19" t="s">
        <v>414</v>
      </c>
      <c r="H107" s="6" t="s">
        <v>30</v>
      </c>
      <c r="I107" s="19" t="s">
        <v>245</v>
      </c>
      <c r="J107" s="6" t="s">
        <v>28</v>
      </c>
      <c r="K107" s="6" t="s">
        <v>422</v>
      </c>
      <c r="L107" s="14" t="s">
        <v>423</v>
      </c>
      <c r="M107" s="6" t="s">
        <v>424</v>
      </c>
      <c r="N107" s="6" t="s">
        <v>38</v>
      </c>
      <c r="O107" s="6" t="s">
        <v>38</v>
      </c>
      <c r="P107" s="12" t="str">
        <f t="shared" si="1"/>
        <v>Igual</v>
      </c>
    </row>
    <row r="108">
      <c r="A108" s="8">
        <v>71.0</v>
      </c>
      <c r="B108" s="6" t="s">
        <v>100</v>
      </c>
      <c r="C108" s="6" t="s">
        <v>258</v>
      </c>
      <c r="D108" s="6" t="s">
        <v>425</v>
      </c>
      <c r="E108" s="18" t="s">
        <v>426</v>
      </c>
      <c r="F108" s="8">
        <v>2024.0</v>
      </c>
      <c r="G108" s="19" t="s">
        <v>427</v>
      </c>
      <c r="H108" s="6" t="s">
        <v>258</v>
      </c>
      <c r="I108" s="19" t="s">
        <v>245</v>
      </c>
      <c r="J108" s="6" t="s">
        <v>24</v>
      </c>
      <c r="K108" s="6" t="s">
        <v>428</v>
      </c>
      <c r="L108" s="14" t="s">
        <v>429</v>
      </c>
      <c r="M108" s="6" t="s">
        <v>430</v>
      </c>
      <c r="N108" s="6" t="s">
        <v>38</v>
      </c>
      <c r="O108" s="6" t="s">
        <v>38</v>
      </c>
      <c r="P108" s="12" t="str">
        <f t="shared" si="1"/>
        <v>Igual</v>
      </c>
    </row>
    <row r="109">
      <c r="A109" s="8">
        <v>71.0</v>
      </c>
      <c r="B109" s="6" t="s">
        <v>100</v>
      </c>
      <c r="C109" s="6" t="s">
        <v>258</v>
      </c>
      <c r="D109" s="6" t="s">
        <v>425</v>
      </c>
      <c r="E109" s="18" t="s">
        <v>426</v>
      </c>
      <c r="F109" s="8">
        <v>2024.0</v>
      </c>
      <c r="G109" s="19" t="s">
        <v>427</v>
      </c>
      <c r="H109" s="6" t="s">
        <v>258</v>
      </c>
      <c r="I109" s="19" t="s">
        <v>245</v>
      </c>
      <c r="J109" s="6" t="s">
        <v>26</v>
      </c>
      <c r="K109" s="6" t="s">
        <v>431</v>
      </c>
      <c r="L109" s="15" t="s">
        <v>432</v>
      </c>
      <c r="M109" s="6" t="s">
        <v>433</v>
      </c>
      <c r="N109" s="6" t="s">
        <v>38</v>
      </c>
      <c r="O109" s="6" t="s">
        <v>38</v>
      </c>
      <c r="P109" s="12" t="str">
        <f t="shared" si="1"/>
        <v>Igual</v>
      </c>
    </row>
    <row r="110">
      <c r="A110" s="8">
        <v>71.0</v>
      </c>
      <c r="B110" s="6" t="s">
        <v>100</v>
      </c>
      <c r="C110" s="6" t="s">
        <v>258</v>
      </c>
      <c r="D110" s="6" t="s">
        <v>425</v>
      </c>
      <c r="E110" s="18" t="s">
        <v>426</v>
      </c>
      <c r="F110" s="8">
        <v>2024.0</v>
      </c>
      <c r="G110" s="19" t="s">
        <v>427</v>
      </c>
      <c r="H110" s="6" t="s">
        <v>258</v>
      </c>
      <c r="I110" s="19" t="s">
        <v>245</v>
      </c>
      <c r="J110" s="6" t="s">
        <v>27</v>
      </c>
      <c r="K110" s="6" t="s">
        <v>434</v>
      </c>
      <c r="L110" s="14" t="s">
        <v>435</v>
      </c>
      <c r="M110" s="6" t="s">
        <v>436</v>
      </c>
      <c r="N110" s="6" t="s">
        <v>38</v>
      </c>
      <c r="O110" s="6" t="s">
        <v>38</v>
      </c>
      <c r="P110" s="12" t="str">
        <f t="shared" si="1"/>
        <v>Igual</v>
      </c>
    </row>
    <row r="111">
      <c r="A111" s="8">
        <v>71.0</v>
      </c>
      <c r="B111" s="6" t="s">
        <v>100</v>
      </c>
      <c r="C111" s="6" t="s">
        <v>258</v>
      </c>
      <c r="D111" s="6" t="s">
        <v>425</v>
      </c>
      <c r="E111" s="18" t="s">
        <v>426</v>
      </c>
      <c r="F111" s="8">
        <v>2024.0</v>
      </c>
      <c r="G111" s="19" t="s">
        <v>427</v>
      </c>
      <c r="H111" s="6" t="s">
        <v>258</v>
      </c>
      <c r="I111" s="19" t="s">
        <v>245</v>
      </c>
      <c r="J111" s="6" t="s">
        <v>28</v>
      </c>
      <c r="K111" s="6" t="s">
        <v>437</v>
      </c>
      <c r="L111" s="14" t="s">
        <v>438</v>
      </c>
      <c r="M111" s="6" t="s">
        <v>439</v>
      </c>
      <c r="N111" s="6" t="s">
        <v>38</v>
      </c>
      <c r="O111" s="6" t="s">
        <v>38</v>
      </c>
      <c r="P111" s="12" t="str">
        <f t="shared" si="1"/>
        <v>Igual</v>
      </c>
    </row>
    <row r="112">
      <c r="A112" s="8">
        <v>75.0</v>
      </c>
      <c r="B112" s="6" t="s">
        <v>100</v>
      </c>
      <c r="C112" s="6" t="s">
        <v>440</v>
      </c>
      <c r="D112" s="6" t="s">
        <v>441</v>
      </c>
      <c r="E112" s="18" t="s">
        <v>442</v>
      </c>
      <c r="F112" s="8">
        <v>2024.0</v>
      </c>
      <c r="G112" s="19" t="s">
        <v>443</v>
      </c>
      <c r="H112" s="6" t="s">
        <v>440</v>
      </c>
      <c r="I112" s="19" t="s">
        <v>245</v>
      </c>
      <c r="J112" s="6" t="s">
        <v>24</v>
      </c>
      <c r="K112" s="6" t="s">
        <v>444</v>
      </c>
      <c r="L112" s="14" t="s">
        <v>445</v>
      </c>
      <c r="M112" s="6" t="s">
        <v>446</v>
      </c>
      <c r="N112" s="6" t="s">
        <v>38</v>
      </c>
      <c r="O112" s="6" t="s">
        <v>38</v>
      </c>
      <c r="P112" s="12" t="str">
        <f t="shared" si="1"/>
        <v>Igual</v>
      </c>
    </row>
    <row r="113">
      <c r="A113" s="8">
        <v>75.0</v>
      </c>
      <c r="B113" s="6" t="s">
        <v>100</v>
      </c>
      <c r="C113" s="6" t="s">
        <v>440</v>
      </c>
      <c r="D113" s="6" t="s">
        <v>441</v>
      </c>
      <c r="E113" s="18" t="s">
        <v>442</v>
      </c>
      <c r="F113" s="8">
        <v>2024.0</v>
      </c>
      <c r="G113" s="19" t="s">
        <v>443</v>
      </c>
      <c r="H113" s="6" t="s">
        <v>440</v>
      </c>
      <c r="I113" s="19" t="s">
        <v>245</v>
      </c>
      <c r="J113" s="6" t="s">
        <v>26</v>
      </c>
      <c r="K113" s="6" t="s">
        <v>447</v>
      </c>
      <c r="L113" s="14" t="s">
        <v>448</v>
      </c>
      <c r="M113" s="6" t="s">
        <v>449</v>
      </c>
      <c r="N113" s="6" t="s">
        <v>38</v>
      </c>
      <c r="O113" s="6" t="s">
        <v>38</v>
      </c>
      <c r="P113" s="12" t="str">
        <f t="shared" si="1"/>
        <v>Igual</v>
      </c>
    </row>
    <row r="114">
      <c r="A114" s="8">
        <v>75.0</v>
      </c>
      <c r="B114" s="6" t="s">
        <v>100</v>
      </c>
      <c r="C114" s="6" t="s">
        <v>440</v>
      </c>
      <c r="D114" s="6" t="s">
        <v>441</v>
      </c>
      <c r="E114" s="18" t="s">
        <v>442</v>
      </c>
      <c r="F114" s="8">
        <v>2024.0</v>
      </c>
      <c r="G114" s="19" t="s">
        <v>443</v>
      </c>
      <c r="H114" s="6" t="s">
        <v>440</v>
      </c>
      <c r="I114" s="19" t="s">
        <v>245</v>
      </c>
      <c r="J114" s="6" t="s">
        <v>27</v>
      </c>
      <c r="K114" s="6" t="s">
        <v>450</v>
      </c>
      <c r="L114" s="14" t="s">
        <v>451</v>
      </c>
      <c r="M114" s="6" t="s">
        <v>452</v>
      </c>
      <c r="N114" s="6" t="s">
        <v>38</v>
      </c>
      <c r="O114" s="6" t="s">
        <v>38</v>
      </c>
      <c r="P114" s="12" t="str">
        <f t="shared" si="1"/>
        <v>Igual</v>
      </c>
    </row>
    <row r="115">
      <c r="A115" s="8">
        <v>75.0</v>
      </c>
      <c r="B115" s="6" t="s">
        <v>100</v>
      </c>
      <c r="C115" s="6" t="s">
        <v>440</v>
      </c>
      <c r="D115" s="6" t="s">
        <v>441</v>
      </c>
      <c r="E115" s="18" t="s">
        <v>442</v>
      </c>
      <c r="F115" s="8">
        <v>2024.0</v>
      </c>
      <c r="G115" s="19" t="s">
        <v>443</v>
      </c>
      <c r="H115" s="6" t="s">
        <v>440</v>
      </c>
      <c r="I115" s="19" t="s">
        <v>245</v>
      </c>
      <c r="J115" s="6" t="s">
        <v>28</v>
      </c>
      <c r="K115" s="6" t="s">
        <v>453</v>
      </c>
      <c r="L115" s="14" t="s">
        <v>454</v>
      </c>
      <c r="M115" s="6" t="s">
        <v>455</v>
      </c>
      <c r="N115" s="6" t="s">
        <v>38</v>
      </c>
      <c r="O115" s="6" t="s">
        <v>38</v>
      </c>
      <c r="P115" s="12" t="str">
        <f t="shared" si="1"/>
        <v>Igual</v>
      </c>
    </row>
    <row r="116">
      <c r="A116" s="8">
        <v>77.0</v>
      </c>
      <c r="B116" s="6" t="s">
        <v>29</v>
      </c>
      <c r="C116" s="6" t="s">
        <v>209</v>
      </c>
      <c r="D116" s="6" t="s">
        <v>456</v>
      </c>
      <c r="E116" s="18" t="s">
        <v>457</v>
      </c>
      <c r="F116" s="8">
        <v>2024.0</v>
      </c>
      <c r="G116" s="19" t="s">
        <v>458</v>
      </c>
      <c r="H116" s="6" t="s">
        <v>209</v>
      </c>
      <c r="I116" s="19" t="s">
        <v>245</v>
      </c>
      <c r="J116" s="6" t="s">
        <v>24</v>
      </c>
      <c r="K116" s="6" t="s">
        <v>459</v>
      </c>
      <c r="L116" s="14" t="s">
        <v>460</v>
      </c>
      <c r="M116" s="6" t="s">
        <v>461</v>
      </c>
      <c r="N116" s="6" t="s">
        <v>38</v>
      </c>
      <c r="O116" s="6" t="s">
        <v>38</v>
      </c>
      <c r="P116" s="12" t="str">
        <f t="shared" si="1"/>
        <v>Igual</v>
      </c>
    </row>
    <row r="117">
      <c r="A117" s="8">
        <v>77.0</v>
      </c>
      <c r="B117" s="6" t="s">
        <v>29</v>
      </c>
      <c r="C117" s="6" t="s">
        <v>209</v>
      </c>
      <c r="D117" s="6" t="s">
        <v>456</v>
      </c>
      <c r="E117" s="18" t="s">
        <v>457</v>
      </c>
      <c r="F117" s="8">
        <v>2024.0</v>
      </c>
      <c r="G117" s="19" t="s">
        <v>458</v>
      </c>
      <c r="H117" s="6" t="s">
        <v>209</v>
      </c>
      <c r="I117" s="19" t="s">
        <v>245</v>
      </c>
      <c r="J117" s="6" t="s">
        <v>26</v>
      </c>
      <c r="K117" s="6" t="s">
        <v>462</v>
      </c>
      <c r="L117" s="14" t="s">
        <v>463</v>
      </c>
      <c r="M117" s="6" t="s">
        <v>464</v>
      </c>
      <c r="N117" s="6" t="s">
        <v>38</v>
      </c>
      <c r="O117" s="6" t="s">
        <v>38</v>
      </c>
      <c r="P117" s="12" t="str">
        <f t="shared" si="1"/>
        <v>Igual</v>
      </c>
    </row>
    <row r="118">
      <c r="A118" s="8">
        <v>77.0</v>
      </c>
      <c r="B118" s="6" t="s">
        <v>29</v>
      </c>
      <c r="C118" s="6" t="s">
        <v>209</v>
      </c>
      <c r="D118" s="6" t="s">
        <v>456</v>
      </c>
      <c r="E118" s="18" t="s">
        <v>457</v>
      </c>
      <c r="F118" s="8">
        <v>2024.0</v>
      </c>
      <c r="G118" s="19" t="s">
        <v>458</v>
      </c>
      <c r="H118" s="6" t="s">
        <v>209</v>
      </c>
      <c r="I118" s="19" t="s">
        <v>245</v>
      </c>
      <c r="J118" s="6" t="s">
        <v>27</v>
      </c>
      <c r="K118" s="6" t="s">
        <v>465</v>
      </c>
      <c r="L118" s="14" t="s">
        <v>466</v>
      </c>
      <c r="M118" s="6" t="s">
        <v>467</v>
      </c>
      <c r="N118" s="6" t="s">
        <v>38</v>
      </c>
      <c r="O118" s="6" t="s">
        <v>38</v>
      </c>
      <c r="P118" s="12" t="str">
        <f t="shared" si="1"/>
        <v>Igual</v>
      </c>
    </row>
    <row r="119">
      <c r="A119" s="8">
        <v>77.0</v>
      </c>
      <c r="B119" s="6" t="s">
        <v>29</v>
      </c>
      <c r="C119" s="6" t="s">
        <v>209</v>
      </c>
      <c r="D119" s="6" t="s">
        <v>456</v>
      </c>
      <c r="E119" s="18" t="s">
        <v>457</v>
      </c>
      <c r="F119" s="8">
        <v>2024.0</v>
      </c>
      <c r="G119" s="19" t="s">
        <v>458</v>
      </c>
      <c r="H119" s="6" t="s">
        <v>209</v>
      </c>
      <c r="I119" s="19" t="s">
        <v>245</v>
      </c>
      <c r="J119" s="6" t="s">
        <v>28</v>
      </c>
      <c r="K119" s="6" t="s">
        <v>468</v>
      </c>
      <c r="L119" s="14" t="s">
        <v>469</v>
      </c>
      <c r="M119" s="6" t="s">
        <v>470</v>
      </c>
      <c r="N119" s="6" t="s">
        <v>38</v>
      </c>
      <c r="O119" s="6" t="s">
        <v>38</v>
      </c>
      <c r="P119" s="12" t="str">
        <f t="shared" si="1"/>
        <v>Igual</v>
      </c>
    </row>
    <row r="120">
      <c r="A120" s="8">
        <v>79.0</v>
      </c>
      <c r="B120" s="6" t="s">
        <v>100</v>
      </c>
      <c r="C120" s="6" t="s">
        <v>471</v>
      </c>
      <c r="D120" s="6" t="s">
        <v>472</v>
      </c>
      <c r="E120" s="18" t="s">
        <v>473</v>
      </c>
      <c r="F120" s="8">
        <v>2024.0</v>
      </c>
      <c r="G120" s="19" t="s">
        <v>474</v>
      </c>
      <c r="H120" s="6" t="s">
        <v>471</v>
      </c>
      <c r="I120" s="19" t="s">
        <v>245</v>
      </c>
      <c r="J120" s="6" t="s">
        <v>24</v>
      </c>
      <c r="K120" s="6" t="s">
        <v>475</v>
      </c>
      <c r="L120" s="14" t="s">
        <v>476</v>
      </c>
      <c r="M120" s="6" t="s">
        <v>477</v>
      </c>
      <c r="N120" s="6" t="s">
        <v>38</v>
      </c>
      <c r="O120" s="6" t="s">
        <v>38</v>
      </c>
      <c r="P120" s="12" t="str">
        <f t="shared" si="1"/>
        <v>Igual</v>
      </c>
    </row>
    <row r="121">
      <c r="A121" s="8">
        <v>79.0</v>
      </c>
      <c r="B121" s="6" t="s">
        <v>100</v>
      </c>
      <c r="C121" s="6" t="s">
        <v>471</v>
      </c>
      <c r="D121" s="6" t="s">
        <v>472</v>
      </c>
      <c r="E121" s="18" t="s">
        <v>473</v>
      </c>
      <c r="F121" s="8">
        <v>2024.0</v>
      </c>
      <c r="G121" s="19" t="s">
        <v>474</v>
      </c>
      <c r="H121" s="6" t="s">
        <v>471</v>
      </c>
      <c r="I121" s="19" t="s">
        <v>245</v>
      </c>
      <c r="J121" s="6" t="s">
        <v>26</v>
      </c>
      <c r="K121" s="6" t="s">
        <v>478</v>
      </c>
      <c r="L121" s="14" t="s">
        <v>479</v>
      </c>
      <c r="M121" s="6" t="s">
        <v>480</v>
      </c>
      <c r="N121" s="6" t="s">
        <v>38</v>
      </c>
      <c r="O121" s="6" t="s">
        <v>38</v>
      </c>
      <c r="P121" s="12" t="str">
        <f t="shared" si="1"/>
        <v>Igual</v>
      </c>
    </row>
    <row r="122">
      <c r="A122" s="8">
        <v>79.0</v>
      </c>
      <c r="B122" s="6" t="s">
        <v>100</v>
      </c>
      <c r="C122" s="6" t="s">
        <v>471</v>
      </c>
      <c r="D122" s="6" t="s">
        <v>472</v>
      </c>
      <c r="E122" s="18" t="s">
        <v>473</v>
      </c>
      <c r="F122" s="8">
        <v>2024.0</v>
      </c>
      <c r="G122" s="19" t="s">
        <v>474</v>
      </c>
      <c r="H122" s="6" t="s">
        <v>471</v>
      </c>
      <c r="I122" s="19" t="s">
        <v>245</v>
      </c>
      <c r="J122" s="6" t="s">
        <v>27</v>
      </c>
      <c r="K122" s="6" t="s">
        <v>481</v>
      </c>
      <c r="L122" s="14" t="s">
        <v>482</v>
      </c>
      <c r="M122" s="6" t="s">
        <v>483</v>
      </c>
      <c r="N122" s="6" t="s">
        <v>38</v>
      </c>
      <c r="O122" s="6" t="s">
        <v>38</v>
      </c>
      <c r="P122" s="12" t="str">
        <f t="shared" si="1"/>
        <v>Igual</v>
      </c>
    </row>
    <row r="123">
      <c r="A123" s="8">
        <v>79.0</v>
      </c>
      <c r="B123" s="6" t="s">
        <v>100</v>
      </c>
      <c r="C123" s="6" t="s">
        <v>471</v>
      </c>
      <c r="D123" s="6" t="s">
        <v>472</v>
      </c>
      <c r="E123" s="18" t="s">
        <v>473</v>
      </c>
      <c r="F123" s="8">
        <v>2024.0</v>
      </c>
      <c r="G123" s="19" t="s">
        <v>474</v>
      </c>
      <c r="H123" s="6" t="s">
        <v>471</v>
      </c>
      <c r="I123" s="19" t="s">
        <v>245</v>
      </c>
      <c r="J123" s="6" t="s">
        <v>28</v>
      </c>
      <c r="K123" s="6" t="s">
        <v>484</v>
      </c>
      <c r="L123" s="14" t="s">
        <v>485</v>
      </c>
      <c r="M123" s="6" t="s">
        <v>486</v>
      </c>
      <c r="N123" s="6" t="s">
        <v>38</v>
      </c>
      <c r="O123" s="6" t="s">
        <v>38</v>
      </c>
      <c r="P123" s="12" t="str">
        <f t="shared" si="1"/>
        <v>Igual</v>
      </c>
    </row>
    <row r="124">
      <c r="A124" s="8">
        <v>80.0</v>
      </c>
      <c r="B124" s="6" t="s">
        <v>100</v>
      </c>
      <c r="C124" s="6" t="s">
        <v>487</v>
      </c>
      <c r="D124" s="6" t="s">
        <v>226</v>
      </c>
      <c r="E124" s="18" t="s">
        <v>488</v>
      </c>
      <c r="F124" s="8">
        <v>2024.0</v>
      </c>
      <c r="G124" s="19" t="s">
        <v>489</v>
      </c>
      <c r="H124" s="6" t="s">
        <v>225</v>
      </c>
      <c r="I124" s="19" t="s">
        <v>245</v>
      </c>
      <c r="J124" s="6" t="s">
        <v>24</v>
      </c>
      <c r="K124" s="6" t="s">
        <v>490</v>
      </c>
      <c r="L124" s="14" t="s">
        <v>491</v>
      </c>
      <c r="M124" s="6" t="s">
        <v>492</v>
      </c>
      <c r="N124" s="6" t="s">
        <v>38</v>
      </c>
      <c r="O124" s="6" t="s">
        <v>38</v>
      </c>
      <c r="P124" s="12" t="str">
        <f t="shared" si="1"/>
        <v>Igual</v>
      </c>
    </row>
    <row r="125">
      <c r="A125" s="8">
        <v>80.0</v>
      </c>
      <c r="B125" s="6" t="s">
        <v>100</v>
      </c>
      <c r="C125" s="6" t="s">
        <v>487</v>
      </c>
      <c r="D125" s="6" t="s">
        <v>226</v>
      </c>
      <c r="E125" s="18" t="s">
        <v>488</v>
      </c>
      <c r="F125" s="8">
        <v>2024.0</v>
      </c>
      <c r="G125" s="19" t="s">
        <v>489</v>
      </c>
      <c r="H125" s="6" t="s">
        <v>225</v>
      </c>
      <c r="I125" s="19" t="s">
        <v>245</v>
      </c>
      <c r="J125" s="6" t="s">
        <v>26</v>
      </c>
      <c r="K125" s="6" t="s">
        <v>493</v>
      </c>
      <c r="L125" s="14" t="s">
        <v>494</v>
      </c>
      <c r="M125" s="6" t="s">
        <v>495</v>
      </c>
      <c r="N125" s="6" t="s">
        <v>38</v>
      </c>
      <c r="O125" s="6" t="s">
        <v>38</v>
      </c>
      <c r="P125" s="12" t="str">
        <f t="shared" si="1"/>
        <v>Igual</v>
      </c>
    </row>
    <row r="126">
      <c r="A126" s="8">
        <v>80.0</v>
      </c>
      <c r="B126" s="6" t="s">
        <v>100</v>
      </c>
      <c r="C126" s="6" t="s">
        <v>487</v>
      </c>
      <c r="D126" s="6" t="s">
        <v>226</v>
      </c>
      <c r="E126" s="18" t="s">
        <v>488</v>
      </c>
      <c r="F126" s="8">
        <v>2024.0</v>
      </c>
      <c r="G126" s="19" t="s">
        <v>489</v>
      </c>
      <c r="H126" s="6" t="s">
        <v>225</v>
      </c>
      <c r="I126" s="19" t="s">
        <v>245</v>
      </c>
      <c r="J126" s="6" t="s">
        <v>27</v>
      </c>
      <c r="K126" s="6" t="s">
        <v>496</v>
      </c>
      <c r="L126" s="14" t="s">
        <v>497</v>
      </c>
      <c r="M126" s="6" t="s">
        <v>498</v>
      </c>
      <c r="N126" s="6" t="s">
        <v>38</v>
      </c>
      <c r="O126" s="6" t="s">
        <v>38</v>
      </c>
      <c r="P126" s="12" t="str">
        <f t="shared" si="1"/>
        <v>Igual</v>
      </c>
    </row>
    <row r="127">
      <c r="A127" s="8">
        <v>80.0</v>
      </c>
      <c r="B127" s="6" t="s">
        <v>100</v>
      </c>
      <c r="C127" s="6" t="s">
        <v>487</v>
      </c>
      <c r="D127" s="6" t="s">
        <v>226</v>
      </c>
      <c r="E127" s="18" t="s">
        <v>488</v>
      </c>
      <c r="F127" s="8">
        <v>2024.0</v>
      </c>
      <c r="G127" s="19" t="s">
        <v>489</v>
      </c>
      <c r="H127" s="6" t="s">
        <v>225</v>
      </c>
      <c r="I127" s="19" t="s">
        <v>245</v>
      </c>
      <c r="J127" s="6" t="s">
        <v>28</v>
      </c>
      <c r="K127" s="6" t="s">
        <v>499</v>
      </c>
      <c r="L127" s="14" t="s">
        <v>500</v>
      </c>
      <c r="M127" s="6" t="s">
        <v>501</v>
      </c>
      <c r="N127" s="6" t="s">
        <v>38</v>
      </c>
      <c r="O127" s="6" t="s">
        <v>38</v>
      </c>
      <c r="P127" s="12" t="str">
        <f t="shared" si="1"/>
        <v>Igual</v>
      </c>
    </row>
    <row r="128">
      <c r="A128" s="8">
        <v>81.0</v>
      </c>
      <c r="B128" s="6" t="s">
        <v>100</v>
      </c>
      <c r="C128" s="6" t="s">
        <v>311</v>
      </c>
      <c r="D128" s="6" t="s">
        <v>502</v>
      </c>
      <c r="E128" s="18" t="s">
        <v>503</v>
      </c>
      <c r="F128" s="8">
        <v>2024.0</v>
      </c>
      <c r="G128" s="19" t="s">
        <v>504</v>
      </c>
      <c r="H128" s="6" t="s">
        <v>311</v>
      </c>
      <c r="I128" s="19" t="s">
        <v>245</v>
      </c>
      <c r="J128" s="6" t="s">
        <v>24</v>
      </c>
      <c r="K128" s="6" t="s">
        <v>505</v>
      </c>
      <c r="L128" s="14" t="s">
        <v>506</v>
      </c>
      <c r="M128" s="6" t="s">
        <v>507</v>
      </c>
      <c r="N128" s="6" t="s">
        <v>38</v>
      </c>
      <c r="O128" s="6" t="s">
        <v>38</v>
      </c>
      <c r="P128" s="12" t="str">
        <f t="shared" si="1"/>
        <v>Igual</v>
      </c>
    </row>
    <row r="129">
      <c r="A129" s="8">
        <v>81.0</v>
      </c>
      <c r="B129" s="6" t="s">
        <v>100</v>
      </c>
      <c r="C129" s="6" t="s">
        <v>311</v>
      </c>
      <c r="D129" s="6" t="s">
        <v>502</v>
      </c>
      <c r="E129" s="18" t="s">
        <v>503</v>
      </c>
      <c r="F129" s="8">
        <v>2024.0</v>
      </c>
      <c r="G129" s="19" t="s">
        <v>504</v>
      </c>
      <c r="H129" s="6" t="s">
        <v>311</v>
      </c>
      <c r="I129" s="19" t="s">
        <v>245</v>
      </c>
      <c r="J129" s="6" t="s">
        <v>26</v>
      </c>
      <c r="K129" s="6" t="s">
        <v>508</v>
      </c>
      <c r="L129" s="14" t="s">
        <v>509</v>
      </c>
      <c r="M129" s="6" t="s">
        <v>510</v>
      </c>
      <c r="N129" s="6" t="s">
        <v>38</v>
      </c>
      <c r="O129" s="6" t="s">
        <v>38</v>
      </c>
      <c r="P129" s="12" t="str">
        <f t="shared" si="1"/>
        <v>Igual</v>
      </c>
    </row>
    <row r="130">
      <c r="A130" s="8">
        <v>81.0</v>
      </c>
      <c r="B130" s="6" t="s">
        <v>100</v>
      </c>
      <c r="C130" s="6" t="s">
        <v>311</v>
      </c>
      <c r="D130" s="6" t="s">
        <v>502</v>
      </c>
      <c r="E130" s="18" t="s">
        <v>503</v>
      </c>
      <c r="F130" s="8">
        <v>2024.0</v>
      </c>
      <c r="G130" s="19" t="s">
        <v>504</v>
      </c>
      <c r="H130" s="6" t="s">
        <v>311</v>
      </c>
      <c r="I130" s="19" t="s">
        <v>245</v>
      </c>
      <c r="J130" s="6" t="s">
        <v>27</v>
      </c>
      <c r="K130" s="6" t="s">
        <v>511</v>
      </c>
      <c r="L130" s="14" t="s">
        <v>512</v>
      </c>
      <c r="M130" s="6" t="s">
        <v>513</v>
      </c>
      <c r="N130" s="6" t="s">
        <v>38</v>
      </c>
      <c r="O130" s="6" t="s">
        <v>38</v>
      </c>
      <c r="P130" s="12" t="str">
        <f t="shared" si="1"/>
        <v>Igual</v>
      </c>
    </row>
    <row r="131">
      <c r="A131" s="8">
        <v>81.0</v>
      </c>
      <c r="B131" s="6" t="s">
        <v>100</v>
      </c>
      <c r="C131" s="6" t="s">
        <v>311</v>
      </c>
      <c r="D131" s="6" t="s">
        <v>502</v>
      </c>
      <c r="E131" s="18" t="s">
        <v>503</v>
      </c>
      <c r="F131" s="8">
        <v>2024.0</v>
      </c>
      <c r="G131" s="19" t="s">
        <v>504</v>
      </c>
      <c r="H131" s="6" t="s">
        <v>311</v>
      </c>
      <c r="I131" s="19" t="s">
        <v>245</v>
      </c>
      <c r="J131" s="6" t="s">
        <v>28</v>
      </c>
      <c r="K131" s="6" t="s">
        <v>514</v>
      </c>
      <c r="L131" s="14" t="s">
        <v>515</v>
      </c>
      <c r="M131" s="6" t="s">
        <v>516</v>
      </c>
      <c r="N131" s="6" t="s">
        <v>38</v>
      </c>
      <c r="O131" s="6" t="s">
        <v>38</v>
      </c>
      <c r="P131" s="12" t="str">
        <f t="shared" si="1"/>
        <v>Igual</v>
      </c>
    </row>
    <row r="132">
      <c r="A132" s="8">
        <v>82.0</v>
      </c>
      <c r="B132" s="6" t="s">
        <v>100</v>
      </c>
      <c r="C132" s="6" t="s">
        <v>311</v>
      </c>
      <c r="D132" s="6" t="s">
        <v>517</v>
      </c>
      <c r="E132" s="18" t="s">
        <v>518</v>
      </c>
      <c r="F132" s="8">
        <v>2024.0</v>
      </c>
      <c r="G132" s="19" t="s">
        <v>519</v>
      </c>
      <c r="H132" s="6" t="s">
        <v>311</v>
      </c>
      <c r="I132" s="19" t="s">
        <v>245</v>
      </c>
      <c r="J132" s="6" t="s">
        <v>24</v>
      </c>
      <c r="K132" s="6" t="s">
        <v>520</v>
      </c>
      <c r="L132" s="14" t="s">
        <v>521</v>
      </c>
      <c r="M132" s="6" t="s">
        <v>522</v>
      </c>
      <c r="N132" s="6" t="s">
        <v>38</v>
      </c>
      <c r="O132" s="6" t="s">
        <v>38</v>
      </c>
      <c r="P132" s="12" t="str">
        <f t="shared" si="1"/>
        <v>Igual</v>
      </c>
    </row>
    <row r="133">
      <c r="A133" s="8">
        <v>82.0</v>
      </c>
      <c r="B133" s="6" t="s">
        <v>100</v>
      </c>
      <c r="C133" s="6" t="s">
        <v>311</v>
      </c>
      <c r="D133" s="6" t="s">
        <v>517</v>
      </c>
      <c r="E133" s="18" t="s">
        <v>518</v>
      </c>
      <c r="F133" s="8">
        <v>2024.0</v>
      </c>
      <c r="G133" s="19" t="s">
        <v>519</v>
      </c>
      <c r="H133" s="6" t="s">
        <v>311</v>
      </c>
      <c r="I133" s="19" t="s">
        <v>245</v>
      </c>
      <c r="J133" s="6" t="s">
        <v>26</v>
      </c>
      <c r="K133" s="6" t="s">
        <v>523</v>
      </c>
      <c r="L133" s="14" t="s">
        <v>524</v>
      </c>
      <c r="M133" s="6" t="s">
        <v>525</v>
      </c>
      <c r="N133" s="6" t="s">
        <v>38</v>
      </c>
      <c r="O133" s="6" t="s">
        <v>38</v>
      </c>
      <c r="P133" s="12" t="str">
        <f t="shared" si="1"/>
        <v>Igual</v>
      </c>
    </row>
    <row r="134">
      <c r="A134" s="8">
        <v>82.0</v>
      </c>
      <c r="B134" s="6" t="s">
        <v>100</v>
      </c>
      <c r="C134" s="6" t="s">
        <v>311</v>
      </c>
      <c r="D134" s="6" t="s">
        <v>517</v>
      </c>
      <c r="E134" s="18" t="s">
        <v>518</v>
      </c>
      <c r="F134" s="8">
        <v>2024.0</v>
      </c>
      <c r="G134" s="19" t="s">
        <v>519</v>
      </c>
      <c r="H134" s="6" t="s">
        <v>311</v>
      </c>
      <c r="I134" s="19" t="s">
        <v>245</v>
      </c>
      <c r="J134" s="6" t="s">
        <v>27</v>
      </c>
      <c r="K134" s="6" t="s">
        <v>526</v>
      </c>
      <c r="L134" s="14" t="s">
        <v>527</v>
      </c>
      <c r="M134" s="6" t="s">
        <v>528</v>
      </c>
      <c r="N134" s="6" t="s">
        <v>38</v>
      </c>
      <c r="O134" s="6" t="s">
        <v>38</v>
      </c>
      <c r="P134" s="12" t="str">
        <f t="shared" si="1"/>
        <v>Igual</v>
      </c>
    </row>
    <row r="135">
      <c r="A135" s="8">
        <v>82.0</v>
      </c>
      <c r="B135" s="6" t="s">
        <v>100</v>
      </c>
      <c r="C135" s="6" t="s">
        <v>311</v>
      </c>
      <c r="D135" s="6" t="s">
        <v>517</v>
      </c>
      <c r="E135" s="18" t="s">
        <v>518</v>
      </c>
      <c r="F135" s="8">
        <v>2024.0</v>
      </c>
      <c r="G135" s="19" t="s">
        <v>519</v>
      </c>
      <c r="H135" s="6" t="s">
        <v>311</v>
      </c>
      <c r="I135" s="19" t="s">
        <v>245</v>
      </c>
      <c r="J135" s="6" t="s">
        <v>28</v>
      </c>
      <c r="K135" s="6" t="s">
        <v>529</v>
      </c>
      <c r="L135" s="14" t="s">
        <v>530</v>
      </c>
      <c r="M135" s="6" t="s">
        <v>531</v>
      </c>
      <c r="N135" s="6" t="s">
        <v>38</v>
      </c>
      <c r="O135" s="6" t="s">
        <v>38</v>
      </c>
      <c r="P135" s="12" t="str">
        <f t="shared" si="1"/>
        <v>Igual</v>
      </c>
    </row>
    <row r="136">
      <c r="A136" s="8">
        <v>85.0</v>
      </c>
      <c r="B136" s="6" t="s">
        <v>29</v>
      </c>
      <c r="C136" s="6" t="s">
        <v>532</v>
      </c>
      <c r="D136" s="6" t="s">
        <v>533</v>
      </c>
      <c r="E136" s="18" t="s">
        <v>534</v>
      </c>
      <c r="F136" s="8">
        <v>2024.0</v>
      </c>
      <c r="G136" s="19" t="s">
        <v>535</v>
      </c>
      <c r="H136" s="6" t="s">
        <v>532</v>
      </c>
      <c r="I136" s="19" t="s">
        <v>245</v>
      </c>
      <c r="J136" s="6" t="s">
        <v>24</v>
      </c>
      <c r="K136" s="6" t="s">
        <v>536</v>
      </c>
      <c r="L136" s="14" t="s">
        <v>537</v>
      </c>
      <c r="M136" s="6" t="s">
        <v>538</v>
      </c>
      <c r="N136" s="6" t="s">
        <v>38</v>
      </c>
      <c r="O136" s="6" t="s">
        <v>38</v>
      </c>
      <c r="P136" s="12" t="str">
        <f t="shared" si="1"/>
        <v>Igual</v>
      </c>
    </row>
    <row r="137">
      <c r="A137" s="8">
        <v>85.0</v>
      </c>
      <c r="B137" s="6" t="s">
        <v>29</v>
      </c>
      <c r="C137" s="6" t="s">
        <v>532</v>
      </c>
      <c r="D137" s="6" t="s">
        <v>533</v>
      </c>
      <c r="E137" s="18" t="s">
        <v>534</v>
      </c>
      <c r="F137" s="8">
        <v>2024.0</v>
      </c>
      <c r="G137" s="19" t="s">
        <v>535</v>
      </c>
      <c r="H137" s="6" t="s">
        <v>532</v>
      </c>
      <c r="I137" s="19" t="s">
        <v>245</v>
      </c>
      <c r="J137" s="6" t="s">
        <v>26</v>
      </c>
      <c r="K137" s="6" t="s">
        <v>539</v>
      </c>
      <c r="L137" s="14" t="s">
        <v>540</v>
      </c>
      <c r="M137" s="6" t="s">
        <v>541</v>
      </c>
      <c r="N137" s="6" t="s">
        <v>38</v>
      </c>
      <c r="O137" s="6" t="s">
        <v>38</v>
      </c>
      <c r="P137" s="12" t="str">
        <f t="shared" si="1"/>
        <v>Igual</v>
      </c>
    </row>
    <row r="138">
      <c r="A138" s="8">
        <v>85.0</v>
      </c>
      <c r="B138" s="6" t="s">
        <v>29</v>
      </c>
      <c r="C138" s="6" t="s">
        <v>532</v>
      </c>
      <c r="D138" s="6" t="s">
        <v>533</v>
      </c>
      <c r="E138" s="18" t="s">
        <v>534</v>
      </c>
      <c r="F138" s="8">
        <v>2024.0</v>
      </c>
      <c r="G138" s="19" t="s">
        <v>535</v>
      </c>
      <c r="H138" s="6" t="s">
        <v>532</v>
      </c>
      <c r="I138" s="19" t="s">
        <v>245</v>
      </c>
      <c r="J138" s="6" t="s">
        <v>27</v>
      </c>
      <c r="K138" s="6" t="s">
        <v>542</v>
      </c>
      <c r="L138" s="14" t="s">
        <v>543</v>
      </c>
      <c r="M138" s="6" t="s">
        <v>544</v>
      </c>
      <c r="N138" s="6" t="s">
        <v>38</v>
      </c>
      <c r="O138" s="6" t="s">
        <v>38</v>
      </c>
      <c r="P138" s="12" t="str">
        <f t="shared" si="1"/>
        <v>Igual</v>
      </c>
    </row>
    <row r="139">
      <c r="A139" s="8">
        <v>85.0</v>
      </c>
      <c r="B139" s="6" t="s">
        <v>29</v>
      </c>
      <c r="C139" s="6" t="s">
        <v>532</v>
      </c>
      <c r="D139" s="6" t="s">
        <v>533</v>
      </c>
      <c r="E139" s="18" t="s">
        <v>534</v>
      </c>
      <c r="F139" s="8">
        <v>2024.0</v>
      </c>
      <c r="G139" s="19" t="s">
        <v>535</v>
      </c>
      <c r="H139" s="6" t="s">
        <v>532</v>
      </c>
      <c r="I139" s="19" t="s">
        <v>245</v>
      </c>
      <c r="J139" s="6" t="s">
        <v>28</v>
      </c>
      <c r="K139" s="6" t="s">
        <v>545</v>
      </c>
      <c r="L139" s="14" t="s">
        <v>546</v>
      </c>
      <c r="M139" s="6" t="s">
        <v>547</v>
      </c>
      <c r="N139" s="6" t="s">
        <v>38</v>
      </c>
      <c r="O139" s="6" t="s">
        <v>38</v>
      </c>
      <c r="P139" s="12" t="str">
        <f t="shared" si="1"/>
        <v>Igual</v>
      </c>
    </row>
    <row r="140">
      <c r="A140" s="8">
        <v>87.0</v>
      </c>
      <c r="B140" s="6" t="s">
        <v>29</v>
      </c>
      <c r="C140" s="6" t="s">
        <v>166</v>
      </c>
      <c r="D140" s="6" t="s">
        <v>548</v>
      </c>
      <c r="E140" s="18" t="s">
        <v>549</v>
      </c>
      <c r="F140" s="8">
        <v>2023.0</v>
      </c>
      <c r="G140" s="19" t="s">
        <v>550</v>
      </c>
      <c r="H140" s="6" t="s">
        <v>166</v>
      </c>
      <c r="I140" s="19" t="s">
        <v>245</v>
      </c>
      <c r="J140" s="6" t="s">
        <v>24</v>
      </c>
      <c r="K140" s="6" t="s">
        <v>551</v>
      </c>
      <c r="L140" s="14" t="s">
        <v>552</v>
      </c>
      <c r="M140" s="6" t="s">
        <v>553</v>
      </c>
      <c r="N140" s="6" t="s">
        <v>38</v>
      </c>
      <c r="O140" s="6" t="s">
        <v>38</v>
      </c>
      <c r="P140" s="12" t="str">
        <f t="shared" si="1"/>
        <v>Igual</v>
      </c>
    </row>
    <row r="141">
      <c r="A141" s="8">
        <v>87.0</v>
      </c>
      <c r="B141" s="6" t="s">
        <v>29</v>
      </c>
      <c r="C141" s="6" t="s">
        <v>166</v>
      </c>
      <c r="D141" s="6" t="s">
        <v>548</v>
      </c>
      <c r="E141" s="18" t="s">
        <v>549</v>
      </c>
      <c r="F141" s="8">
        <v>2023.0</v>
      </c>
      <c r="G141" s="19" t="s">
        <v>550</v>
      </c>
      <c r="H141" s="6" t="s">
        <v>166</v>
      </c>
      <c r="I141" s="19" t="s">
        <v>245</v>
      </c>
      <c r="J141" s="6" t="s">
        <v>26</v>
      </c>
      <c r="K141" s="6" t="s">
        <v>554</v>
      </c>
      <c r="L141" s="14" t="s">
        <v>555</v>
      </c>
      <c r="M141" s="6" t="s">
        <v>556</v>
      </c>
      <c r="N141" s="6" t="s">
        <v>38</v>
      </c>
      <c r="O141" s="6" t="s">
        <v>38</v>
      </c>
      <c r="P141" s="12" t="str">
        <f t="shared" si="1"/>
        <v>Igual</v>
      </c>
    </row>
    <row r="142">
      <c r="A142" s="8">
        <v>87.0</v>
      </c>
      <c r="B142" s="6" t="s">
        <v>29</v>
      </c>
      <c r="C142" s="6" t="s">
        <v>166</v>
      </c>
      <c r="D142" s="6" t="s">
        <v>548</v>
      </c>
      <c r="E142" s="18" t="s">
        <v>549</v>
      </c>
      <c r="F142" s="8">
        <v>2023.0</v>
      </c>
      <c r="G142" s="19" t="s">
        <v>550</v>
      </c>
      <c r="H142" s="6" t="s">
        <v>166</v>
      </c>
      <c r="I142" s="19" t="s">
        <v>245</v>
      </c>
      <c r="J142" s="6" t="s">
        <v>27</v>
      </c>
      <c r="K142" s="6" t="s">
        <v>557</v>
      </c>
      <c r="L142" s="14" t="s">
        <v>558</v>
      </c>
      <c r="M142" s="6" t="s">
        <v>559</v>
      </c>
      <c r="N142" s="6" t="s">
        <v>38</v>
      </c>
      <c r="O142" s="6" t="s">
        <v>38</v>
      </c>
      <c r="P142" s="12" t="str">
        <f t="shared" si="1"/>
        <v>Igual</v>
      </c>
    </row>
    <row r="143">
      <c r="A143" s="8">
        <v>87.0</v>
      </c>
      <c r="B143" s="6" t="s">
        <v>29</v>
      </c>
      <c r="C143" s="6" t="s">
        <v>166</v>
      </c>
      <c r="D143" s="6" t="s">
        <v>548</v>
      </c>
      <c r="E143" s="18" t="s">
        <v>549</v>
      </c>
      <c r="F143" s="8">
        <v>2023.0</v>
      </c>
      <c r="G143" s="19" t="s">
        <v>550</v>
      </c>
      <c r="H143" s="6" t="s">
        <v>166</v>
      </c>
      <c r="I143" s="19" t="s">
        <v>245</v>
      </c>
      <c r="J143" s="6" t="s">
        <v>28</v>
      </c>
      <c r="K143" s="6" t="s">
        <v>560</v>
      </c>
      <c r="L143" s="14" t="s">
        <v>561</v>
      </c>
      <c r="M143" s="6" t="s">
        <v>562</v>
      </c>
      <c r="N143" s="6" t="s">
        <v>38</v>
      </c>
      <c r="O143" s="6" t="s">
        <v>38</v>
      </c>
      <c r="P143" s="12" t="str">
        <f t="shared" si="1"/>
        <v>Igual</v>
      </c>
    </row>
    <row r="144">
      <c r="A144" s="8">
        <v>89.0</v>
      </c>
      <c r="B144" s="6" t="s">
        <v>29</v>
      </c>
      <c r="C144" s="6" t="s">
        <v>30</v>
      </c>
      <c r="D144" s="6" t="s">
        <v>85</v>
      </c>
      <c r="E144" s="7" t="s">
        <v>563</v>
      </c>
      <c r="F144" s="8">
        <v>2023.0</v>
      </c>
      <c r="G144" s="9" t="s">
        <v>564</v>
      </c>
      <c r="H144" s="6" t="s">
        <v>116</v>
      </c>
      <c r="I144" s="19" t="s">
        <v>245</v>
      </c>
      <c r="J144" s="6" t="s">
        <v>24</v>
      </c>
      <c r="K144" s="6" t="s">
        <v>565</v>
      </c>
      <c r="L144" s="14" t="s">
        <v>566</v>
      </c>
      <c r="M144" s="6" t="s">
        <v>567</v>
      </c>
      <c r="N144" s="6" t="s">
        <v>38</v>
      </c>
      <c r="O144" s="6" t="s">
        <v>38</v>
      </c>
      <c r="P144" s="12" t="str">
        <f t="shared" si="1"/>
        <v>Igual</v>
      </c>
    </row>
    <row r="145">
      <c r="A145" s="8">
        <v>89.0</v>
      </c>
      <c r="B145" s="6" t="s">
        <v>29</v>
      </c>
      <c r="C145" s="6" t="s">
        <v>30</v>
      </c>
      <c r="D145" s="6" t="s">
        <v>85</v>
      </c>
      <c r="E145" s="7" t="s">
        <v>563</v>
      </c>
      <c r="F145" s="8">
        <v>2023.0</v>
      </c>
      <c r="G145" s="9" t="s">
        <v>564</v>
      </c>
      <c r="H145" s="6" t="s">
        <v>116</v>
      </c>
      <c r="I145" s="19" t="s">
        <v>245</v>
      </c>
      <c r="J145" s="6" t="s">
        <v>26</v>
      </c>
      <c r="K145" s="6" t="s">
        <v>568</v>
      </c>
      <c r="L145" s="14" t="s">
        <v>569</v>
      </c>
      <c r="M145" s="6" t="s">
        <v>570</v>
      </c>
      <c r="N145" s="6" t="s">
        <v>38</v>
      </c>
      <c r="O145" s="6" t="s">
        <v>38</v>
      </c>
      <c r="P145" s="12" t="str">
        <f t="shared" si="1"/>
        <v>Igual</v>
      </c>
    </row>
    <row r="146">
      <c r="A146" s="8">
        <v>89.0</v>
      </c>
      <c r="B146" s="6" t="s">
        <v>29</v>
      </c>
      <c r="C146" s="6" t="s">
        <v>30</v>
      </c>
      <c r="D146" s="6" t="s">
        <v>85</v>
      </c>
      <c r="E146" s="7" t="s">
        <v>563</v>
      </c>
      <c r="F146" s="8">
        <v>2023.0</v>
      </c>
      <c r="G146" s="9" t="s">
        <v>564</v>
      </c>
      <c r="H146" s="6" t="s">
        <v>116</v>
      </c>
      <c r="I146" s="19" t="s">
        <v>245</v>
      </c>
      <c r="J146" s="6" t="s">
        <v>27</v>
      </c>
      <c r="K146" s="6" t="s">
        <v>571</v>
      </c>
      <c r="L146" s="14" t="s">
        <v>572</v>
      </c>
      <c r="M146" s="6" t="s">
        <v>573</v>
      </c>
      <c r="N146" s="6" t="s">
        <v>38</v>
      </c>
      <c r="O146" s="6" t="s">
        <v>38</v>
      </c>
      <c r="P146" s="12" t="str">
        <f t="shared" si="1"/>
        <v>Igual</v>
      </c>
    </row>
    <row r="147">
      <c r="A147" s="8">
        <v>89.0</v>
      </c>
      <c r="B147" s="6" t="s">
        <v>29</v>
      </c>
      <c r="C147" s="6" t="s">
        <v>30</v>
      </c>
      <c r="D147" s="6" t="s">
        <v>85</v>
      </c>
      <c r="E147" s="7" t="s">
        <v>563</v>
      </c>
      <c r="F147" s="8">
        <v>2023.0</v>
      </c>
      <c r="G147" s="9" t="s">
        <v>564</v>
      </c>
      <c r="H147" s="6" t="s">
        <v>116</v>
      </c>
      <c r="I147" s="19" t="s">
        <v>245</v>
      </c>
      <c r="J147" s="6" t="s">
        <v>28</v>
      </c>
      <c r="K147" s="6" t="s">
        <v>574</v>
      </c>
      <c r="L147" s="14" t="s">
        <v>575</v>
      </c>
      <c r="M147" s="6" t="s">
        <v>576</v>
      </c>
      <c r="N147" s="6" t="s">
        <v>38</v>
      </c>
      <c r="O147" s="6" t="s">
        <v>38</v>
      </c>
      <c r="P147" s="12" t="str">
        <f t="shared" si="1"/>
        <v>Igual</v>
      </c>
    </row>
    <row r="148">
      <c r="A148" s="8">
        <v>91.0</v>
      </c>
      <c r="B148" s="6" t="s">
        <v>29</v>
      </c>
      <c r="C148" s="6" t="s">
        <v>291</v>
      </c>
      <c r="D148" s="6" t="s">
        <v>577</v>
      </c>
      <c r="E148" s="7" t="s">
        <v>578</v>
      </c>
      <c r="F148" s="8">
        <v>2023.0</v>
      </c>
      <c r="G148" s="9" t="s">
        <v>579</v>
      </c>
      <c r="H148" s="6" t="s">
        <v>580</v>
      </c>
      <c r="I148" s="19" t="s">
        <v>245</v>
      </c>
      <c r="J148" s="6" t="s">
        <v>24</v>
      </c>
      <c r="K148" s="6" t="s">
        <v>581</v>
      </c>
      <c r="L148" s="14" t="s">
        <v>582</v>
      </c>
      <c r="M148" s="6" t="s">
        <v>583</v>
      </c>
      <c r="N148" s="6" t="s">
        <v>38</v>
      </c>
      <c r="O148" s="6" t="s">
        <v>38</v>
      </c>
      <c r="P148" s="12" t="str">
        <f t="shared" si="1"/>
        <v>Igual</v>
      </c>
    </row>
    <row r="149">
      <c r="A149" s="8">
        <v>91.0</v>
      </c>
      <c r="B149" s="6" t="s">
        <v>29</v>
      </c>
      <c r="C149" s="6" t="s">
        <v>291</v>
      </c>
      <c r="D149" s="6" t="s">
        <v>577</v>
      </c>
      <c r="E149" s="7" t="s">
        <v>578</v>
      </c>
      <c r="F149" s="8">
        <v>2023.0</v>
      </c>
      <c r="G149" s="9" t="s">
        <v>579</v>
      </c>
      <c r="H149" s="6" t="s">
        <v>580</v>
      </c>
      <c r="I149" s="19" t="s">
        <v>245</v>
      </c>
      <c r="J149" s="6" t="s">
        <v>26</v>
      </c>
      <c r="K149" s="6" t="s">
        <v>584</v>
      </c>
      <c r="L149" s="14" t="s">
        <v>585</v>
      </c>
      <c r="M149" s="6" t="s">
        <v>586</v>
      </c>
      <c r="N149" s="6" t="s">
        <v>38</v>
      </c>
      <c r="O149" s="6" t="s">
        <v>38</v>
      </c>
      <c r="P149" s="12" t="str">
        <f t="shared" si="1"/>
        <v>Igual</v>
      </c>
    </row>
    <row r="150">
      <c r="A150" s="8">
        <v>91.0</v>
      </c>
      <c r="B150" s="6" t="s">
        <v>29</v>
      </c>
      <c r="C150" s="6" t="s">
        <v>291</v>
      </c>
      <c r="D150" s="6" t="s">
        <v>577</v>
      </c>
      <c r="E150" s="7" t="s">
        <v>578</v>
      </c>
      <c r="F150" s="8">
        <v>2023.0</v>
      </c>
      <c r="G150" s="9" t="s">
        <v>579</v>
      </c>
      <c r="H150" s="6" t="s">
        <v>580</v>
      </c>
      <c r="I150" s="19" t="s">
        <v>245</v>
      </c>
      <c r="J150" s="6" t="s">
        <v>27</v>
      </c>
      <c r="K150" s="6" t="s">
        <v>587</v>
      </c>
      <c r="L150" s="14" t="s">
        <v>588</v>
      </c>
      <c r="M150" s="6" t="s">
        <v>589</v>
      </c>
      <c r="N150" s="6" t="s">
        <v>38</v>
      </c>
      <c r="O150" s="6" t="s">
        <v>38</v>
      </c>
      <c r="P150" s="12" t="str">
        <f t="shared" si="1"/>
        <v>Igual</v>
      </c>
    </row>
    <row r="151">
      <c r="A151" s="8">
        <v>91.0</v>
      </c>
      <c r="B151" s="6" t="s">
        <v>29</v>
      </c>
      <c r="C151" s="6" t="s">
        <v>291</v>
      </c>
      <c r="D151" s="6" t="s">
        <v>577</v>
      </c>
      <c r="E151" s="7" t="s">
        <v>578</v>
      </c>
      <c r="F151" s="8">
        <v>2023.0</v>
      </c>
      <c r="G151" s="9" t="s">
        <v>579</v>
      </c>
      <c r="H151" s="6" t="s">
        <v>580</v>
      </c>
      <c r="I151" s="19" t="s">
        <v>245</v>
      </c>
      <c r="J151" s="6" t="s">
        <v>28</v>
      </c>
      <c r="K151" s="6" t="s">
        <v>590</v>
      </c>
      <c r="L151" s="14" t="s">
        <v>591</v>
      </c>
      <c r="M151" s="6" t="s">
        <v>592</v>
      </c>
      <c r="N151" s="6" t="s">
        <v>38</v>
      </c>
      <c r="O151" s="6" t="s">
        <v>38</v>
      </c>
      <c r="P151" s="12" t="str">
        <f t="shared" si="1"/>
        <v>Igual</v>
      </c>
    </row>
    <row r="152">
      <c r="A152" s="8">
        <v>92.0</v>
      </c>
      <c r="B152" s="6" t="s">
        <v>100</v>
      </c>
      <c r="C152" s="6" t="s">
        <v>30</v>
      </c>
      <c r="D152" s="6" t="s">
        <v>593</v>
      </c>
      <c r="E152" s="7" t="s">
        <v>594</v>
      </c>
      <c r="F152" s="8">
        <v>2023.0</v>
      </c>
      <c r="G152" s="16" t="s">
        <v>595</v>
      </c>
      <c r="H152" s="6" t="s">
        <v>30</v>
      </c>
      <c r="I152" s="19" t="s">
        <v>245</v>
      </c>
      <c r="J152" s="6" t="s">
        <v>24</v>
      </c>
      <c r="K152" s="6" t="s">
        <v>596</v>
      </c>
      <c r="L152" s="14" t="s">
        <v>597</v>
      </c>
      <c r="M152" s="6" t="s">
        <v>598</v>
      </c>
      <c r="N152" s="6" t="s">
        <v>38</v>
      </c>
      <c r="O152" s="6" t="s">
        <v>38</v>
      </c>
      <c r="P152" s="12" t="str">
        <f t="shared" si="1"/>
        <v>Igual</v>
      </c>
    </row>
    <row r="153">
      <c r="A153" s="8">
        <v>92.0</v>
      </c>
      <c r="B153" s="6" t="s">
        <v>100</v>
      </c>
      <c r="C153" s="6" t="s">
        <v>30</v>
      </c>
      <c r="D153" s="6" t="s">
        <v>593</v>
      </c>
      <c r="E153" s="7" t="s">
        <v>594</v>
      </c>
      <c r="F153" s="8">
        <v>2023.0</v>
      </c>
      <c r="G153" s="16" t="s">
        <v>595</v>
      </c>
      <c r="H153" s="6" t="s">
        <v>30</v>
      </c>
      <c r="I153" s="19" t="s">
        <v>245</v>
      </c>
      <c r="J153" s="6" t="s">
        <v>26</v>
      </c>
      <c r="K153" s="6" t="s">
        <v>599</v>
      </c>
      <c r="L153" s="14" t="s">
        <v>600</v>
      </c>
      <c r="M153" s="6" t="s">
        <v>601</v>
      </c>
      <c r="N153" s="6" t="s">
        <v>38</v>
      </c>
      <c r="O153" s="6" t="s">
        <v>38</v>
      </c>
      <c r="P153" s="12" t="str">
        <f t="shared" si="1"/>
        <v>Igual</v>
      </c>
    </row>
    <row r="154">
      <c r="A154" s="8">
        <v>92.0</v>
      </c>
      <c r="B154" s="6" t="s">
        <v>100</v>
      </c>
      <c r="C154" s="6" t="s">
        <v>30</v>
      </c>
      <c r="D154" s="6" t="s">
        <v>593</v>
      </c>
      <c r="E154" s="7" t="s">
        <v>594</v>
      </c>
      <c r="F154" s="8">
        <v>2023.0</v>
      </c>
      <c r="G154" s="16" t="s">
        <v>595</v>
      </c>
      <c r="H154" s="6" t="s">
        <v>30</v>
      </c>
      <c r="I154" s="19" t="s">
        <v>245</v>
      </c>
      <c r="J154" s="6" t="s">
        <v>27</v>
      </c>
      <c r="K154" s="6" t="s">
        <v>602</v>
      </c>
      <c r="L154" s="14" t="s">
        <v>603</v>
      </c>
      <c r="M154" s="6" t="s">
        <v>604</v>
      </c>
      <c r="N154" s="6" t="s">
        <v>38</v>
      </c>
      <c r="O154" s="6" t="s">
        <v>38</v>
      </c>
      <c r="P154" s="12" t="str">
        <f t="shared" si="1"/>
        <v>Igual</v>
      </c>
    </row>
    <row r="155">
      <c r="A155" s="8">
        <v>92.0</v>
      </c>
      <c r="B155" s="6" t="s">
        <v>100</v>
      </c>
      <c r="C155" s="6" t="s">
        <v>30</v>
      </c>
      <c r="D155" s="6" t="s">
        <v>593</v>
      </c>
      <c r="E155" s="7" t="s">
        <v>594</v>
      </c>
      <c r="F155" s="8">
        <v>2023.0</v>
      </c>
      <c r="G155" s="16" t="s">
        <v>595</v>
      </c>
      <c r="H155" s="6" t="s">
        <v>30</v>
      </c>
      <c r="I155" s="19" t="s">
        <v>245</v>
      </c>
      <c r="J155" s="6" t="s">
        <v>28</v>
      </c>
      <c r="K155" s="6" t="s">
        <v>605</v>
      </c>
      <c r="L155" s="14" t="s">
        <v>606</v>
      </c>
      <c r="M155" s="6" t="s">
        <v>607</v>
      </c>
      <c r="N155" s="6" t="s">
        <v>38</v>
      </c>
      <c r="O155" s="6" t="s">
        <v>38</v>
      </c>
      <c r="P155" s="12" t="str">
        <f t="shared" si="1"/>
        <v>Igual</v>
      </c>
    </row>
    <row r="156">
      <c r="A156" s="8">
        <v>95.0</v>
      </c>
      <c r="B156" s="6" t="s">
        <v>100</v>
      </c>
      <c r="C156" s="6" t="s">
        <v>162</v>
      </c>
      <c r="D156" s="6" t="s">
        <v>608</v>
      </c>
      <c r="E156" s="7" t="s">
        <v>609</v>
      </c>
      <c r="F156" s="8">
        <v>2023.0</v>
      </c>
      <c r="G156" s="16" t="s">
        <v>610</v>
      </c>
      <c r="H156" s="6" t="s">
        <v>611</v>
      </c>
      <c r="I156" s="19" t="s">
        <v>245</v>
      </c>
      <c r="J156" s="6" t="s">
        <v>24</v>
      </c>
      <c r="K156" s="6" t="s">
        <v>612</v>
      </c>
      <c r="L156" s="14" t="s">
        <v>613</v>
      </c>
      <c r="M156" s="6" t="s">
        <v>614</v>
      </c>
      <c r="N156" s="6" t="s">
        <v>38</v>
      </c>
      <c r="O156" s="6" t="s">
        <v>38</v>
      </c>
      <c r="P156" s="12" t="str">
        <f t="shared" si="1"/>
        <v>Igual</v>
      </c>
    </row>
    <row r="157">
      <c r="A157" s="8">
        <v>95.0</v>
      </c>
      <c r="B157" s="6" t="s">
        <v>100</v>
      </c>
      <c r="C157" s="6" t="s">
        <v>162</v>
      </c>
      <c r="D157" s="6" t="s">
        <v>608</v>
      </c>
      <c r="E157" s="7" t="s">
        <v>609</v>
      </c>
      <c r="F157" s="8">
        <v>2023.0</v>
      </c>
      <c r="G157" s="16" t="s">
        <v>610</v>
      </c>
      <c r="H157" s="6" t="s">
        <v>611</v>
      </c>
      <c r="I157" s="19" t="s">
        <v>245</v>
      </c>
      <c r="J157" s="6" t="s">
        <v>26</v>
      </c>
      <c r="K157" s="6" t="s">
        <v>615</v>
      </c>
      <c r="L157" s="14" t="s">
        <v>616</v>
      </c>
      <c r="M157" s="6" t="s">
        <v>617</v>
      </c>
      <c r="N157" s="6" t="s">
        <v>38</v>
      </c>
      <c r="O157" s="6" t="s">
        <v>38</v>
      </c>
      <c r="P157" s="12" t="str">
        <f t="shared" si="1"/>
        <v>Igual</v>
      </c>
    </row>
    <row r="158">
      <c r="A158" s="8">
        <v>95.0</v>
      </c>
      <c r="B158" s="6" t="s">
        <v>100</v>
      </c>
      <c r="C158" s="6" t="s">
        <v>162</v>
      </c>
      <c r="D158" s="6" t="s">
        <v>608</v>
      </c>
      <c r="E158" s="7" t="s">
        <v>609</v>
      </c>
      <c r="F158" s="8">
        <v>2023.0</v>
      </c>
      <c r="G158" s="16" t="s">
        <v>610</v>
      </c>
      <c r="H158" s="6" t="s">
        <v>611</v>
      </c>
      <c r="I158" s="19" t="s">
        <v>245</v>
      </c>
      <c r="J158" s="6" t="s">
        <v>27</v>
      </c>
      <c r="K158" s="6" t="s">
        <v>618</v>
      </c>
      <c r="L158" s="14" t="s">
        <v>619</v>
      </c>
      <c r="M158" s="6" t="s">
        <v>620</v>
      </c>
      <c r="N158" s="6" t="s">
        <v>38</v>
      </c>
      <c r="O158" s="6" t="s">
        <v>38</v>
      </c>
      <c r="P158" s="12" t="str">
        <f t="shared" si="1"/>
        <v>Igual</v>
      </c>
    </row>
    <row r="159">
      <c r="A159" s="8">
        <v>95.0</v>
      </c>
      <c r="B159" s="6" t="s">
        <v>100</v>
      </c>
      <c r="C159" s="6" t="s">
        <v>162</v>
      </c>
      <c r="D159" s="6" t="s">
        <v>608</v>
      </c>
      <c r="E159" s="7" t="s">
        <v>609</v>
      </c>
      <c r="F159" s="8">
        <v>2023.0</v>
      </c>
      <c r="G159" s="16" t="s">
        <v>610</v>
      </c>
      <c r="H159" s="6" t="s">
        <v>611</v>
      </c>
      <c r="I159" s="19" t="s">
        <v>245</v>
      </c>
      <c r="J159" s="6" t="s">
        <v>28</v>
      </c>
      <c r="K159" s="6" t="s">
        <v>621</v>
      </c>
      <c r="L159" s="14" t="s">
        <v>622</v>
      </c>
      <c r="M159" s="6" t="s">
        <v>623</v>
      </c>
      <c r="N159" s="6" t="s">
        <v>38</v>
      </c>
      <c r="O159" s="6" t="s">
        <v>38</v>
      </c>
      <c r="P159" s="12" t="str">
        <f t="shared" si="1"/>
        <v>Igual</v>
      </c>
    </row>
    <row r="160">
      <c r="A160" s="8">
        <v>98.0</v>
      </c>
      <c r="B160" s="6" t="s">
        <v>29</v>
      </c>
      <c r="C160" s="6" t="s">
        <v>624</v>
      </c>
      <c r="D160" s="6" t="s">
        <v>625</v>
      </c>
      <c r="E160" s="7" t="s">
        <v>626</v>
      </c>
      <c r="F160" s="8">
        <v>2023.0</v>
      </c>
      <c r="G160" s="9" t="s">
        <v>627</v>
      </c>
      <c r="H160" s="6" t="s">
        <v>624</v>
      </c>
      <c r="I160" s="19" t="s">
        <v>245</v>
      </c>
      <c r="J160" s="6" t="s">
        <v>24</v>
      </c>
      <c r="K160" s="6" t="s">
        <v>628</v>
      </c>
      <c r="L160" s="14" t="s">
        <v>629</v>
      </c>
      <c r="M160" s="6" t="s">
        <v>630</v>
      </c>
      <c r="N160" s="6" t="s">
        <v>38</v>
      </c>
      <c r="O160" s="6" t="s">
        <v>38</v>
      </c>
      <c r="P160" s="12" t="str">
        <f t="shared" si="1"/>
        <v>Igual</v>
      </c>
    </row>
    <row r="161">
      <c r="A161" s="8">
        <v>98.0</v>
      </c>
      <c r="B161" s="6" t="s">
        <v>29</v>
      </c>
      <c r="C161" s="6" t="s">
        <v>624</v>
      </c>
      <c r="D161" s="6" t="s">
        <v>625</v>
      </c>
      <c r="E161" s="7" t="s">
        <v>626</v>
      </c>
      <c r="F161" s="8">
        <v>2023.0</v>
      </c>
      <c r="G161" s="9" t="s">
        <v>627</v>
      </c>
      <c r="H161" s="6" t="s">
        <v>624</v>
      </c>
      <c r="I161" s="19" t="s">
        <v>245</v>
      </c>
      <c r="J161" s="6" t="s">
        <v>26</v>
      </c>
      <c r="K161" s="6" t="s">
        <v>631</v>
      </c>
      <c r="L161" s="14" t="s">
        <v>632</v>
      </c>
      <c r="M161" s="6" t="s">
        <v>633</v>
      </c>
      <c r="N161" s="6" t="s">
        <v>38</v>
      </c>
      <c r="O161" s="6" t="s">
        <v>38</v>
      </c>
      <c r="P161" s="12" t="str">
        <f t="shared" si="1"/>
        <v>Igual</v>
      </c>
    </row>
    <row r="162">
      <c r="A162" s="8">
        <v>98.0</v>
      </c>
      <c r="B162" s="6" t="s">
        <v>29</v>
      </c>
      <c r="C162" s="6" t="s">
        <v>624</v>
      </c>
      <c r="D162" s="6" t="s">
        <v>625</v>
      </c>
      <c r="E162" s="7" t="s">
        <v>626</v>
      </c>
      <c r="F162" s="8">
        <v>2023.0</v>
      </c>
      <c r="G162" s="9" t="s">
        <v>627</v>
      </c>
      <c r="H162" s="6" t="s">
        <v>624</v>
      </c>
      <c r="I162" s="19" t="s">
        <v>245</v>
      </c>
      <c r="J162" s="6" t="s">
        <v>27</v>
      </c>
      <c r="K162" s="6" t="s">
        <v>634</v>
      </c>
      <c r="L162" s="14" t="s">
        <v>635</v>
      </c>
      <c r="M162" s="6" t="s">
        <v>636</v>
      </c>
      <c r="N162" s="6" t="s">
        <v>38</v>
      </c>
      <c r="O162" s="6" t="s">
        <v>38</v>
      </c>
      <c r="P162" s="12" t="str">
        <f t="shared" si="1"/>
        <v>Igual</v>
      </c>
    </row>
    <row r="163">
      <c r="A163" s="8">
        <v>98.0</v>
      </c>
      <c r="B163" s="6" t="s">
        <v>29</v>
      </c>
      <c r="C163" s="6" t="s">
        <v>624</v>
      </c>
      <c r="D163" s="6" t="s">
        <v>625</v>
      </c>
      <c r="E163" s="7" t="s">
        <v>626</v>
      </c>
      <c r="F163" s="8">
        <v>2023.0</v>
      </c>
      <c r="G163" s="9" t="s">
        <v>627</v>
      </c>
      <c r="H163" s="6" t="s">
        <v>624</v>
      </c>
      <c r="I163" s="19" t="s">
        <v>245</v>
      </c>
      <c r="J163" s="6" t="s">
        <v>28</v>
      </c>
      <c r="K163" s="6" t="s">
        <v>637</v>
      </c>
      <c r="L163" s="14" t="s">
        <v>638</v>
      </c>
      <c r="M163" s="6" t="s">
        <v>639</v>
      </c>
      <c r="N163" s="6" t="s">
        <v>38</v>
      </c>
      <c r="O163" s="6" t="s">
        <v>38</v>
      </c>
      <c r="P163" s="12" t="str">
        <f t="shared" si="1"/>
        <v>Igual</v>
      </c>
    </row>
    <row r="164">
      <c r="A164" s="8">
        <v>103.0</v>
      </c>
      <c r="B164" s="6" t="s">
        <v>29</v>
      </c>
      <c r="C164" s="6" t="s">
        <v>640</v>
      </c>
      <c r="D164" s="6" t="s">
        <v>641</v>
      </c>
      <c r="E164" s="7" t="s">
        <v>642</v>
      </c>
      <c r="F164" s="8">
        <v>2022.0</v>
      </c>
      <c r="G164" s="9" t="s">
        <v>643</v>
      </c>
      <c r="H164" s="6" t="s">
        <v>640</v>
      </c>
      <c r="I164" s="19" t="s">
        <v>245</v>
      </c>
      <c r="J164" s="6" t="s">
        <v>24</v>
      </c>
      <c r="K164" s="6" t="s">
        <v>644</v>
      </c>
      <c r="L164" s="14" t="s">
        <v>645</v>
      </c>
      <c r="M164" s="6" t="s">
        <v>646</v>
      </c>
      <c r="N164" s="6" t="s">
        <v>38</v>
      </c>
      <c r="O164" s="6" t="s">
        <v>38</v>
      </c>
      <c r="P164" s="12" t="str">
        <f t="shared" si="1"/>
        <v>Igual</v>
      </c>
    </row>
    <row r="165">
      <c r="A165" s="8">
        <v>103.0</v>
      </c>
      <c r="B165" s="6" t="s">
        <v>29</v>
      </c>
      <c r="C165" s="6" t="s">
        <v>640</v>
      </c>
      <c r="D165" s="6" t="s">
        <v>641</v>
      </c>
      <c r="E165" s="7" t="s">
        <v>642</v>
      </c>
      <c r="F165" s="8">
        <v>2022.0</v>
      </c>
      <c r="G165" s="9" t="s">
        <v>643</v>
      </c>
      <c r="H165" s="6" t="s">
        <v>640</v>
      </c>
      <c r="I165" s="19" t="s">
        <v>245</v>
      </c>
      <c r="J165" s="6" t="s">
        <v>26</v>
      </c>
      <c r="K165" s="6" t="s">
        <v>647</v>
      </c>
      <c r="L165" s="14" t="s">
        <v>648</v>
      </c>
      <c r="M165" s="6" t="s">
        <v>649</v>
      </c>
      <c r="N165" s="6" t="s">
        <v>38</v>
      </c>
      <c r="O165" s="6" t="s">
        <v>38</v>
      </c>
      <c r="P165" s="12" t="str">
        <f t="shared" si="1"/>
        <v>Igual</v>
      </c>
    </row>
    <row r="166">
      <c r="A166" s="8">
        <v>103.0</v>
      </c>
      <c r="B166" s="6" t="s">
        <v>29</v>
      </c>
      <c r="C166" s="6" t="s">
        <v>640</v>
      </c>
      <c r="D166" s="6" t="s">
        <v>641</v>
      </c>
      <c r="E166" s="7" t="s">
        <v>642</v>
      </c>
      <c r="F166" s="8">
        <v>2022.0</v>
      </c>
      <c r="G166" s="9" t="s">
        <v>643</v>
      </c>
      <c r="H166" s="6" t="s">
        <v>640</v>
      </c>
      <c r="I166" s="19" t="s">
        <v>245</v>
      </c>
      <c r="J166" s="6" t="s">
        <v>27</v>
      </c>
      <c r="K166" s="6" t="s">
        <v>650</v>
      </c>
      <c r="L166" s="14" t="s">
        <v>651</v>
      </c>
      <c r="M166" s="6" t="s">
        <v>652</v>
      </c>
      <c r="N166" s="6" t="s">
        <v>38</v>
      </c>
      <c r="O166" s="6" t="s">
        <v>38</v>
      </c>
      <c r="P166" s="12" t="str">
        <f t="shared" si="1"/>
        <v>Igual</v>
      </c>
    </row>
    <row r="167">
      <c r="A167" s="8">
        <v>103.0</v>
      </c>
      <c r="B167" s="6" t="s">
        <v>29</v>
      </c>
      <c r="C167" s="6" t="s">
        <v>640</v>
      </c>
      <c r="D167" s="6" t="s">
        <v>641</v>
      </c>
      <c r="E167" s="7" t="s">
        <v>642</v>
      </c>
      <c r="F167" s="8">
        <v>2022.0</v>
      </c>
      <c r="G167" s="9" t="s">
        <v>643</v>
      </c>
      <c r="H167" s="6" t="s">
        <v>640</v>
      </c>
      <c r="I167" s="19" t="s">
        <v>245</v>
      </c>
      <c r="J167" s="6" t="s">
        <v>28</v>
      </c>
      <c r="K167" s="6" t="s">
        <v>653</v>
      </c>
      <c r="L167" s="14" t="s">
        <v>654</v>
      </c>
      <c r="M167" s="6" t="s">
        <v>655</v>
      </c>
      <c r="N167" s="6" t="s">
        <v>38</v>
      </c>
      <c r="O167" s="6" t="s">
        <v>38</v>
      </c>
      <c r="P167" s="12" t="str">
        <f t="shared" si="1"/>
        <v>Igual</v>
      </c>
    </row>
    <row r="168">
      <c r="A168" s="8">
        <v>110.0</v>
      </c>
      <c r="B168" s="6" t="s">
        <v>29</v>
      </c>
      <c r="C168" s="6" t="s">
        <v>30</v>
      </c>
      <c r="D168" s="6" t="s">
        <v>65</v>
      </c>
      <c r="E168" s="7" t="s">
        <v>656</v>
      </c>
      <c r="F168" s="8">
        <v>2021.0</v>
      </c>
      <c r="G168" s="9" t="s">
        <v>657</v>
      </c>
      <c r="H168" s="6" t="s">
        <v>64</v>
      </c>
      <c r="I168" s="19" t="s">
        <v>245</v>
      </c>
      <c r="J168" s="6" t="s">
        <v>24</v>
      </c>
      <c r="K168" s="6" t="s">
        <v>658</v>
      </c>
      <c r="L168" s="14" t="s">
        <v>659</v>
      </c>
      <c r="M168" s="6" t="s">
        <v>660</v>
      </c>
      <c r="N168" s="6" t="s">
        <v>38</v>
      </c>
      <c r="O168" s="6" t="s">
        <v>38</v>
      </c>
      <c r="P168" s="12" t="str">
        <f t="shared" si="1"/>
        <v>Igual</v>
      </c>
    </row>
    <row r="169">
      <c r="A169" s="8">
        <v>110.0</v>
      </c>
      <c r="B169" s="6" t="s">
        <v>29</v>
      </c>
      <c r="C169" s="6" t="s">
        <v>30</v>
      </c>
      <c r="D169" s="6" t="s">
        <v>65</v>
      </c>
      <c r="E169" s="7" t="s">
        <v>656</v>
      </c>
      <c r="F169" s="8">
        <v>2021.0</v>
      </c>
      <c r="G169" s="9" t="s">
        <v>657</v>
      </c>
      <c r="H169" s="6" t="s">
        <v>64</v>
      </c>
      <c r="I169" s="19" t="s">
        <v>245</v>
      </c>
      <c r="J169" s="6" t="s">
        <v>26</v>
      </c>
      <c r="K169" s="6" t="s">
        <v>661</v>
      </c>
      <c r="L169" s="14" t="s">
        <v>662</v>
      </c>
      <c r="M169" s="6" t="s">
        <v>663</v>
      </c>
      <c r="N169" s="6" t="s">
        <v>38</v>
      </c>
      <c r="O169" s="6" t="s">
        <v>38</v>
      </c>
      <c r="P169" s="12" t="str">
        <f t="shared" si="1"/>
        <v>Igual</v>
      </c>
    </row>
    <row r="170">
      <c r="A170" s="8">
        <v>110.0</v>
      </c>
      <c r="B170" s="6" t="s">
        <v>29</v>
      </c>
      <c r="C170" s="6" t="s">
        <v>30</v>
      </c>
      <c r="D170" s="6" t="s">
        <v>65</v>
      </c>
      <c r="E170" s="7" t="s">
        <v>656</v>
      </c>
      <c r="F170" s="8">
        <v>2021.0</v>
      </c>
      <c r="G170" s="9" t="s">
        <v>657</v>
      </c>
      <c r="H170" s="6" t="s">
        <v>64</v>
      </c>
      <c r="I170" s="19" t="s">
        <v>245</v>
      </c>
      <c r="J170" s="6" t="s">
        <v>27</v>
      </c>
      <c r="K170" s="6" t="s">
        <v>664</v>
      </c>
      <c r="L170" s="14" t="s">
        <v>665</v>
      </c>
      <c r="M170" s="6" t="s">
        <v>666</v>
      </c>
      <c r="N170" s="6" t="s">
        <v>38</v>
      </c>
      <c r="O170" s="6" t="s">
        <v>38</v>
      </c>
      <c r="P170" s="12" t="str">
        <f t="shared" si="1"/>
        <v>Igual</v>
      </c>
    </row>
    <row r="171">
      <c r="A171" s="8">
        <v>110.0</v>
      </c>
      <c r="B171" s="6" t="s">
        <v>29</v>
      </c>
      <c r="C171" s="6" t="s">
        <v>30</v>
      </c>
      <c r="D171" s="6" t="s">
        <v>65</v>
      </c>
      <c r="E171" s="7" t="s">
        <v>656</v>
      </c>
      <c r="F171" s="8">
        <v>2021.0</v>
      </c>
      <c r="G171" s="9" t="s">
        <v>657</v>
      </c>
      <c r="H171" s="6" t="s">
        <v>64</v>
      </c>
      <c r="I171" s="19" t="s">
        <v>245</v>
      </c>
      <c r="J171" s="6" t="s">
        <v>28</v>
      </c>
      <c r="K171" s="6" t="s">
        <v>667</v>
      </c>
      <c r="L171" s="14" t="s">
        <v>668</v>
      </c>
      <c r="M171" s="6" t="s">
        <v>669</v>
      </c>
      <c r="N171" s="6" t="s">
        <v>38</v>
      </c>
      <c r="O171" s="6" t="s">
        <v>38</v>
      </c>
      <c r="P171" s="12" t="str">
        <f t="shared" si="1"/>
        <v>Igual</v>
      </c>
    </row>
    <row r="172">
      <c r="A172" s="8">
        <v>116.0</v>
      </c>
      <c r="B172" s="6" t="s">
        <v>29</v>
      </c>
      <c r="C172" s="6" t="s">
        <v>30</v>
      </c>
      <c r="D172" s="6" t="s">
        <v>670</v>
      </c>
      <c r="E172" s="7" t="s">
        <v>671</v>
      </c>
      <c r="F172" s="8">
        <v>2024.0</v>
      </c>
      <c r="G172" s="9" t="s">
        <v>672</v>
      </c>
      <c r="H172" s="6" t="s">
        <v>30</v>
      </c>
      <c r="I172" s="9" t="s">
        <v>34</v>
      </c>
      <c r="J172" s="6" t="s">
        <v>24</v>
      </c>
      <c r="K172" s="6" t="s">
        <v>673</v>
      </c>
      <c r="L172" s="14" t="s">
        <v>674</v>
      </c>
      <c r="M172" s="6" t="s">
        <v>675</v>
      </c>
      <c r="N172" s="6" t="s">
        <v>38</v>
      </c>
      <c r="O172" s="6" t="s">
        <v>38</v>
      </c>
      <c r="P172" s="12" t="str">
        <f t="shared" si="1"/>
        <v>Igual</v>
      </c>
    </row>
    <row r="173">
      <c r="A173" s="8">
        <v>116.0</v>
      </c>
      <c r="B173" s="6" t="s">
        <v>29</v>
      </c>
      <c r="C173" s="6" t="s">
        <v>30</v>
      </c>
      <c r="D173" s="6" t="s">
        <v>670</v>
      </c>
      <c r="E173" s="7" t="s">
        <v>671</v>
      </c>
      <c r="F173" s="8">
        <v>2024.0</v>
      </c>
      <c r="G173" s="9" t="s">
        <v>672</v>
      </c>
      <c r="H173" s="6" t="s">
        <v>30</v>
      </c>
      <c r="I173" s="9" t="s">
        <v>34</v>
      </c>
      <c r="J173" s="6" t="s">
        <v>26</v>
      </c>
      <c r="K173" s="6" t="s">
        <v>676</v>
      </c>
      <c r="L173" s="14" t="s">
        <v>677</v>
      </c>
      <c r="M173" s="6" t="s">
        <v>678</v>
      </c>
      <c r="N173" s="6" t="s">
        <v>38</v>
      </c>
      <c r="O173" s="6" t="s">
        <v>38</v>
      </c>
      <c r="P173" s="12" t="str">
        <f t="shared" si="1"/>
        <v>Igual</v>
      </c>
    </row>
    <row r="174">
      <c r="A174" s="8">
        <v>116.0</v>
      </c>
      <c r="B174" s="6" t="s">
        <v>29</v>
      </c>
      <c r="C174" s="6" t="s">
        <v>30</v>
      </c>
      <c r="D174" s="6" t="s">
        <v>670</v>
      </c>
      <c r="E174" s="7" t="s">
        <v>671</v>
      </c>
      <c r="F174" s="8">
        <v>2024.0</v>
      </c>
      <c r="G174" s="9" t="s">
        <v>672</v>
      </c>
      <c r="H174" s="6" t="s">
        <v>30</v>
      </c>
      <c r="I174" s="9" t="s">
        <v>34</v>
      </c>
      <c r="J174" s="6" t="s">
        <v>27</v>
      </c>
      <c r="K174" s="6" t="s">
        <v>679</v>
      </c>
      <c r="L174" s="14" t="s">
        <v>680</v>
      </c>
      <c r="M174" s="6" t="s">
        <v>681</v>
      </c>
      <c r="N174" s="6" t="s">
        <v>38</v>
      </c>
      <c r="O174" s="6" t="s">
        <v>38</v>
      </c>
      <c r="P174" s="12" t="str">
        <f t="shared" si="1"/>
        <v>Igual</v>
      </c>
    </row>
    <row r="175">
      <c r="A175" s="8">
        <v>116.0</v>
      </c>
      <c r="B175" s="6" t="s">
        <v>29</v>
      </c>
      <c r="C175" s="6" t="s">
        <v>30</v>
      </c>
      <c r="D175" s="6" t="s">
        <v>670</v>
      </c>
      <c r="E175" s="7" t="s">
        <v>671</v>
      </c>
      <c r="F175" s="8">
        <v>2024.0</v>
      </c>
      <c r="G175" s="9" t="s">
        <v>672</v>
      </c>
      <c r="H175" s="6" t="s">
        <v>30</v>
      </c>
      <c r="I175" s="9" t="s">
        <v>34</v>
      </c>
      <c r="J175" s="6" t="s">
        <v>28</v>
      </c>
      <c r="K175" s="6" t="s">
        <v>682</v>
      </c>
      <c r="L175" s="14" t="s">
        <v>683</v>
      </c>
      <c r="M175" s="6" t="s">
        <v>684</v>
      </c>
      <c r="N175" s="6" t="s">
        <v>38</v>
      </c>
      <c r="O175" s="6" t="s">
        <v>38</v>
      </c>
      <c r="P175" s="12" t="str">
        <f t="shared" si="1"/>
        <v>Igual</v>
      </c>
    </row>
    <row r="176">
      <c r="A176" s="8">
        <v>117.0</v>
      </c>
      <c r="B176" s="6" t="s">
        <v>29</v>
      </c>
      <c r="C176" s="6" t="s">
        <v>685</v>
      </c>
      <c r="D176" s="6" t="s">
        <v>686</v>
      </c>
      <c r="E176" s="7" t="s">
        <v>687</v>
      </c>
      <c r="F176" s="8">
        <v>2019.0</v>
      </c>
      <c r="G176" s="9" t="s">
        <v>688</v>
      </c>
      <c r="H176" s="6" t="s">
        <v>340</v>
      </c>
      <c r="I176" s="9" t="s">
        <v>34</v>
      </c>
      <c r="J176" s="6" t="s">
        <v>24</v>
      </c>
      <c r="K176" s="6" t="s">
        <v>689</v>
      </c>
      <c r="L176" s="14" t="s">
        <v>690</v>
      </c>
      <c r="M176" s="6" t="s">
        <v>691</v>
      </c>
      <c r="N176" s="6" t="s">
        <v>38</v>
      </c>
      <c r="O176" s="6" t="s">
        <v>38</v>
      </c>
      <c r="P176" s="12" t="str">
        <f t="shared" si="1"/>
        <v>Igual</v>
      </c>
    </row>
    <row r="177">
      <c r="A177" s="8">
        <v>117.0</v>
      </c>
      <c r="B177" s="6" t="s">
        <v>29</v>
      </c>
      <c r="C177" s="6" t="s">
        <v>685</v>
      </c>
      <c r="D177" s="6" t="s">
        <v>686</v>
      </c>
      <c r="E177" s="7" t="s">
        <v>687</v>
      </c>
      <c r="F177" s="8">
        <v>2019.0</v>
      </c>
      <c r="G177" s="9" t="s">
        <v>688</v>
      </c>
      <c r="H177" s="6" t="s">
        <v>340</v>
      </c>
      <c r="I177" s="9" t="s">
        <v>34</v>
      </c>
      <c r="J177" s="6" t="s">
        <v>26</v>
      </c>
      <c r="K177" s="6" t="s">
        <v>692</v>
      </c>
      <c r="L177" s="14" t="s">
        <v>693</v>
      </c>
      <c r="M177" s="6" t="s">
        <v>694</v>
      </c>
      <c r="N177" s="6" t="s">
        <v>38</v>
      </c>
      <c r="O177" s="6" t="s">
        <v>38</v>
      </c>
      <c r="P177" s="12" t="str">
        <f t="shared" si="1"/>
        <v>Igual</v>
      </c>
    </row>
    <row r="178">
      <c r="A178" s="8">
        <v>117.0</v>
      </c>
      <c r="B178" s="6" t="s">
        <v>29</v>
      </c>
      <c r="C178" s="6" t="s">
        <v>685</v>
      </c>
      <c r="D178" s="6" t="s">
        <v>686</v>
      </c>
      <c r="E178" s="7" t="s">
        <v>687</v>
      </c>
      <c r="F178" s="8">
        <v>2019.0</v>
      </c>
      <c r="G178" s="9" t="s">
        <v>688</v>
      </c>
      <c r="H178" s="6" t="s">
        <v>340</v>
      </c>
      <c r="I178" s="9" t="s">
        <v>34</v>
      </c>
      <c r="J178" s="6" t="s">
        <v>27</v>
      </c>
      <c r="K178" s="6" t="s">
        <v>695</v>
      </c>
      <c r="L178" s="14" t="s">
        <v>696</v>
      </c>
      <c r="M178" s="6" t="s">
        <v>697</v>
      </c>
      <c r="N178" s="6" t="s">
        <v>38</v>
      </c>
      <c r="O178" s="6" t="s">
        <v>38</v>
      </c>
      <c r="P178" s="12" t="str">
        <f t="shared" si="1"/>
        <v>Igual</v>
      </c>
    </row>
    <row r="179">
      <c r="A179" s="8">
        <v>117.0</v>
      </c>
      <c r="B179" s="6" t="s">
        <v>29</v>
      </c>
      <c r="C179" s="6" t="s">
        <v>685</v>
      </c>
      <c r="D179" s="6" t="s">
        <v>686</v>
      </c>
      <c r="E179" s="7" t="s">
        <v>687</v>
      </c>
      <c r="F179" s="8">
        <v>2019.0</v>
      </c>
      <c r="G179" s="9" t="s">
        <v>688</v>
      </c>
      <c r="H179" s="6" t="s">
        <v>340</v>
      </c>
      <c r="I179" s="9" t="s">
        <v>34</v>
      </c>
      <c r="J179" s="6" t="s">
        <v>28</v>
      </c>
      <c r="K179" s="6" t="s">
        <v>698</v>
      </c>
      <c r="L179" s="14" t="s">
        <v>699</v>
      </c>
      <c r="M179" s="6" t="s">
        <v>700</v>
      </c>
      <c r="N179" s="6" t="s">
        <v>38</v>
      </c>
      <c r="O179" s="6" t="s">
        <v>38</v>
      </c>
      <c r="P179" s="12" t="str">
        <f t="shared" si="1"/>
        <v>Igual</v>
      </c>
    </row>
    <row r="180">
      <c r="A180" s="8">
        <v>118.0</v>
      </c>
      <c r="B180" s="6" t="s">
        <v>29</v>
      </c>
      <c r="C180" s="6" t="s">
        <v>701</v>
      </c>
      <c r="D180" s="6" t="s">
        <v>702</v>
      </c>
      <c r="E180" s="7" t="s">
        <v>703</v>
      </c>
      <c r="F180" s="8">
        <v>2025.0</v>
      </c>
      <c r="G180" s="9" t="s">
        <v>704</v>
      </c>
      <c r="H180" s="6" t="s">
        <v>701</v>
      </c>
      <c r="I180" s="9" t="s">
        <v>34</v>
      </c>
      <c r="J180" s="6" t="s">
        <v>24</v>
      </c>
      <c r="K180" s="6" t="s">
        <v>705</v>
      </c>
      <c r="L180" s="14" t="s">
        <v>706</v>
      </c>
      <c r="M180" s="6" t="s">
        <v>707</v>
      </c>
      <c r="N180" s="6" t="s">
        <v>38</v>
      </c>
      <c r="O180" s="6" t="s">
        <v>38</v>
      </c>
      <c r="P180" s="12" t="str">
        <f t="shared" si="1"/>
        <v>Igual</v>
      </c>
    </row>
    <row r="181">
      <c r="A181" s="8">
        <v>118.0</v>
      </c>
      <c r="B181" s="6" t="s">
        <v>29</v>
      </c>
      <c r="C181" s="6" t="s">
        <v>701</v>
      </c>
      <c r="D181" s="6" t="s">
        <v>702</v>
      </c>
      <c r="E181" s="7" t="s">
        <v>703</v>
      </c>
      <c r="F181" s="8">
        <v>2025.0</v>
      </c>
      <c r="G181" s="9" t="s">
        <v>704</v>
      </c>
      <c r="H181" s="6" t="s">
        <v>701</v>
      </c>
      <c r="I181" s="9" t="s">
        <v>34</v>
      </c>
      <c r="J181" s="6" t="s">
        <v>26</v>
      </c>
      <c r="K181" s="6" t="s">
        <v>708</v>
      </c>
      <c r="L181" s="14" t="s">
        <v>709</v>
      </c>
      <c r="M181" s="6" t="s">
        <v>710</v>
      </c>
      <c r="N181" s="6" t="s">
        <v>38</v>
      </c>
      <c r="O181" s="6" t="s">
        <v>38</v>
      </c>
      <c r="P181" s="12" t="str">
        <f t="shared" si="1"/>
        <v>Igual</v>
      </c>
    </row>
    <row r="182">
      <c r="A182" s="8">
        <v>118.0</v>
      </c>
      <c r="B182" s="6" t="s">
        <v>29</v>
      </c>
      <c r="C182" s="6" t="s">
        <v>701</v>
      </c>
      <c r="D182" s="6" t="s">
        <v>702</v>
      </c>
      <c r="E182" s="7" t="s">
        <v>703</v>
      </c>
      <c r="F182" s="8">
        <v>2025.0</v>
      </c>
      <c r="G182" s="9" t="s">
        <v>704</v>
      </c>
      <c r="H182" s="6" t="s">
        <v>701</v>
      </c>
      <c r="I182" s="9" t="s">
        <v>34</v>
      </c>
      <c r="J182" s="6" t="s">
        <v>27</v>
      </c>
      <c r="K182" s="6" t="s">
        <v>711</v>
      </c>
      <c r="L182" s="14" t="s">
        <v>712</v>
      </c>
      <c r="M182" s="6" t="s">
        <v>713</v>
      </c>
      <c r="N182" s="6" t="s">
        <v>38</v>
      </c>
      <c r="O182" s="6" t="s">
        <v>38</v>
      </c>
      <c r="P182" s="12" t="str">
        <f t="shared" si="1"/>
        <v>Igual</v>
      </c>
    </row>
    <row r="183">
      <c r="A183" s="8">
        <v>118.0</v>
      </c>
      <c r="B183" s="6" t="s">
        <v>29</v>
      </c>
      <c r="C183" s="6" t="s">
        <v>701</v>
      </c>
      <c r="D183" s="6" t="s">
        <v>702</v>
      </c>
      <c r="E183" s="7" t="s">
        <v>703</v>
      </c>
      <c r="F183" s="8">
        <v>2025.0</v>
      </c>
      <c r="G183" s="9" t="s">
        <v>704</v>
      </c>
      <c r="H183" s="6" t="s">
        <v>701</v>
      </c>
      <c r="I183" s="9" t="s">
        <v>34</v>
      </c>
      <c r="J183" s="6" t="s">
        <v>28</v>
      </c>
      <c r="K183" s="6" t="s">
        <v>714</v>
      </c>
      <c r="L183" s="14" t="s">
        <v>715</v>
      </c>
      <c r="M183" s="6" t="s">
        <v>716</v>
      </c>
      <c r="N183" s="6" t="s">
        <v>38</v>
      </c>
      <c r="O183" s="6" t="s">
        <v>38</v>
      </c>
      <c r="P183" s="12" t="str">
        <f t="shared" si="1"/>
        <v>Igual</v>
      </c>
    </row>
    <row r="184">
      <c r="A184" s="8">
        <v>119.0</v>
      </c>
      <c r="B184" s="6" t="s">
        <v>29</v>
      </c>
      <c r="C184" s="6" t="s">
        <v>685</v>
      </c>
      <c r="D184" s="6" t="s">
        <v>717</v>
      </c>
      <c r="E184" s="7" t="s">
        <v>718</v>
      </c>
      <c r="F184" s="8">
        <v>2019.0</v>
      </c>
      <c r="G184" s="9" t="s">
        <v>688</v>
      </c>
      <c r="H184" s="6" t="s">
        <v>340</v>
      </c>
      <c r="I184" s="9" t="s">
        <v>34</v>
      </c>
      <c r="J184" s="6" t="s">
        <v>24</v>
      </c>
      <c r="K184" s="6" t="s">
        <v>719</v>
      </c>
      <c r="L184" s="14" t="s">
        <v>720</v>
      </c>
      <c r="M184" s="6" t="s">
        <v>721</v>
      </c>
      <c r="N184" s="6" t="s">
        <v>38</v>
      </c>
      <c r="O184" s="6" t="s">
        <v>38</v>
      </c>
      <c r="P184" s="12" t="str">
        <f t="shared" si="1"/>
        <v>Igual</v>
      </c>
    </row>
    <row r="185">
      <c r="A185" s="8">
        <v>119.0</v>
      </c>
      <c r="B185" s="6" t="s">
        <v>29</v>
      </c>
      <c r="C185" s="6" t="s">
        <v>685</v>
      </c>
      <c r="D185" s="6" t="s">
        <v>717</v>
      </c>
      <c r="E185" s="7" t="s">
        <v>718</v>
      </c>
      <c r="F185" s="8">
        <v>2019.0</v>
      </c>
      <c r="G185" s="9" t="s">
        <v>688</v>
      </c>
      <c r="H185" s="6" t="s">
        <v>340</v>
      </c>
      <c r="I185" s="9" t="s">
        <v>34</v>
      </c>
      <c r="J185" s="6" t="s">
        <v>26</v>
      </c>
      <c r="K185" s="6" t="s">
        <v>722</v>
      </c>
      <c r="L185" s="14" t="s">
        <v>723</v>
      </c>
      <c r="M185" s="6" t="s">
        <v>724</v>
      </c>
      <c r="N185" s="6" t="s">
        <v>38</v>
      </c>
      <c r="O185" s="6" t="s">
        <v>38</v>
      </c>
      <c r="P185" s="12" t="str">
        <f t="shared" si="1"/>
        <v>Igual</v>
      </c>
    </row>
    <row r="186">
      <c r="A186" s="8">
        <v>119.0</v>
      </c>
      <c r="B186" s="6" t="s">
        <v>29</v>
      </c>
      <c r="C186" s="6" t="s">
        <v>685</v>
      </c>
      <c r="D186" s="6" t="s">
        <v>717</v>
      </c>
      <c r="E186" s="7" t="s">
        <v>718</v>
      </c>
      <c r="F186" s="8">
        <v>2019.0</v>
      </c>
      <c r="G186" s="9" t="s">
        <v>688</v>
      </c>
      <c r="H186" s="6" t="s">
        <v>340</v>
      </c>
      <c r="I186" s="9" t="s">
        <v>34</v>
      </c>
      <c r="J186" s="6" t="s">
        <v>27</v>
      </c>
      <c r="K186" s="6" t="s">
        <v>725</v>
      </c>
      <c r="L186" s="14" t="s">
        <v>726</v>
      </c>
      <c r="M186" s="6" t="s">
        <v>727</v>
      </c>
      <c r="N186" s="6" t="s">
        <v>38</v>
      </c>
      <c r="O186" s="6" t="s">
        <v>38</v>
      </c>
      <c r="P186" s="12" t="str">
        <f t="shared" si="1"/>
        <v>Igual</v>
      </c>
    </row>
    <row r="187">
      <c r="A187" s="8">
        <v>119.0</v>
      </c>
      <c r="B187" s="6" t="s">
        <v>29</v>
      </c>
      <c r="C187" s="6" t="s">
        <v>685</v>
      </c>
      <c r="D187" s="6" t="s">
        <v>717</v>
      </c>
      <c r="E187" s="7" t="s">
        <v>718</v>
      </c>
      <c r="F187" s="8">
        <v>2019.0</v>
      </c>
      <c r="G187" s="9" t="s">
        <v>688</v>
      </c>
      <c r="H187" s="6" t="s">
        <v>340</v>
      </c>
      <c r="I187" s="9" t="s">
        <v>34</v>
      </c>
      <c r="J187" s="6" t="s">
        <v>28</v>
      </c>
      <c r="K187" s="6" t="s">
        <v>728</v>
      </c>
      <c r="L187" s="14" t="s">
        <v>729</v>
      </c>
      <c r="M187" s="6" t="s">
        <v>730</v>
      </c>
      <c r="N187" s="6" t="s">
        <v>38</v>
      </c>
      <c r="O187" s="6" t="s">
        <v>38</v>
      </c>
      <c r="P187" s="12" t="str">
        <f t="shared" si="1"/>
        <v>Igual</v>
      </c>
    </row>
    <row r="188">
      <c r="A188" s="8">
        <v>120.0</v>
      </c>
      <c r="B188" s="6" t="s">
        <v>29</v>
      </c>
      <c r="C188" s="6" t="s">
        <v>162</v>
      </c>
      <c r="D188" s="6" t="s">
        <v>731</v>
      </c>
      <c r="E188" s="7" t="s">
        <v>732</v>
      </c>
      <c r="F188" s="8">
        <v>2025.0</v>
      </c>
      <c r="G188" s="9" t="s">
        <v>733</v>
      </c>
      <c r="H188" s="6" t="s">
        <v>162</v>
      </c>
      <c r="I188" s="9" t="s">
        <v>34</v>
      </c>
      <c r="J188" s="6" t="s">
        <v>24</v>
      </c>
      <c r="K188" s="6" t="s">
        <v>734</v>
      </c>
      <c r="L188" s="14" t="s">
        <v>735</v>
      </c>
      <c r="M188" s="6" t="s">
        <v>736</v>
      </c>
      <c r="N188" s="6" t="s">
        <v>38</v>
      </c>
      <c r="O188" s="6" t="s">
        <v>38</v>
      </c>
      <c r="P188" s="12" t="str">
        <f t="shared" si="1"/>
        <v>Igual</v>
      </c>
    </row>
    <row r="189">
      <c r="A189" s="8">
        <v>120.0</v>
      </c>
      <c r="B189" s="6" t="s">
        <v>29</v>
      </c>
      <c r="C189" s="6" t="s">
        <v>162</v>
      </c>
      <c r="D189" s="6" t="s">
        <v>731</v>
      </c>
      <c r="E189" s="7" t="s">
        <v>732</v>
      </c>
      <c r="F189" s="8">
        <v>2025.0</v>
      </c>
      <c r="G189" s="9" t="s">
        <v>733</v>
      </c>
      <c r="H189" s="6" t="s">
        <v>162</v>
      </c>
      <c r="I189" s="9" t="s">
        <v>34</v>
      </c>
      <c r="J189" s="6" t="s">
        <v>26</v>
      </c>
      <c r="K189" s="6" t="s">
        <v>737</v>
      </c>
      <c r="L189" s="14" t="s">
        <v>738</v>
      </c>
      <c r="M189" s="6" t="s">
        <v>739</v>
      </c>
      <c r="N189" s="6" t="s">
        <v>38</v>
      </c>
      <c r="O189" s="6" t="s">
        <v>38</v>
      </c>
      <c r="P189" s="12" t="str">
        <f t="shared" si="1"/>
        <v>Igual</v>
      </c>
    </row>
    <row r="190">
      <c r="A190" s="8">
        <v>120.0</v>
      </c>
      <c r="B190" s="6" t="s">
        <v>29</v>
      </c>
      <c r="C190" s="6" t="s">
        <v>162</v>
      </c>
      <c r="D190" s="6" t="s">
        <v>731</v>
      </c>
      <c r="E190" s="7" t="s">
        <v>732</v>
      </c>
      <c r="F190" s="8">
        <v>2025.0</v>
      </c>
      <c r="G190" s="9" t="s">
        <v>733</v>
      </c>
      <c r="H190" s="6" t="s">
        <v>162</v>
      </c>
      <c r="I190" s="9" t="s">
        <v>34</v>
      </c>
      <c r="J190" s="6" t="s">
        <v>27</v>
      </c>
      <c r="K190" s="6" t="s">
        <v>740</v>
      </c>
      <c r="L190" s="14" t="s">
        <v>741</v>
      </c>
      <c r="M190" s="6" t="s">
        <v>742</v>
      </c>
      <c r="N190" s="6" t="s">
        <v>38</v>
      </c>
      <c r="O190" s="6" t="s">
        <v>38</v>
      </c>
      <c r="P190" s="12" t="str">
        <f t="shared" si="1"/>
        <v>Igual</v>
      </c>
    </row>
    <row r="191">
      <c r="A191" s="8">
        <v>120.0</v>
      </c>
      <c r="B191" s="6" t="s">
        <v>29</v>
      </c>
      <c r="C191" s="6" t="s">
        <v>162</v>
      </c>
      <c r="D191" s="6" t="s">
        <v>731</v>
      </c>
      <c r="E191" s="7" t="s">
        <v>732</v>
      </c>
      <c r="F191" s="8">
        <v>2025.0</v>
      </c>
      <c r="G191" s="9" t="s">
        <v>733</v>
      </c>
      <c r="H191" s="6" t="s">
        <v>162</v>
      </c>
      <c r="I191" s="9" t="s">
        <v>34</v>
      </c>
      <c r="J191" s="6" t="s">
        <v>28</v>
      </c>
      <c r="K191" s="6" t="s">
        <v>743</v>
      </c>
      <c r="L191" s="14" t="s">
        <v>744</v>
      </c>
      <c r="M191" s="6" t="s">
        <v>745</v>
      </c>
      <c r="N191" s="6" t="s">
        <v>38</v>
      </c>
      <c r="O191" s="6" t="s">
        <v>38</v>
      </c>
      <c r="P191" s="12" t="str">
        <f t="shared" si="1"/>
        <v>Igual</v>
      </c>
    </row>
    <row r="192">
      <c r="A192" s="8">
        <v>122.0</v>
      </c>
      <c r="B192" s="6" t="s">
        <v>29</v>
      </c>
      <c r="C192" s="6" t="s">
        <v>640</v>
      </c>
      <c r="D192" s="6" t="s">
        <v>641</v>
      </c>
      <c r="E192" s="7" t="s">
        <v>746</v>
      </c>
      <c r="F192" s="8">
        <v>2022.0</v>
      </c>
      <c r="G192" s="9" t="s">
        <v>747</v>
      </c>
      <c r="H192" s="6" t="s">
        <v>640</v>
      </c>
      <c r="I192" s="9" t="s">
        <v>34</v>
      </c>
      <c r="J192" s="6" t="s">
        <v>24</v>
      </c>
      <c r="K192" s="6" t="s">
        <v>748</v>
      </c>
      <c r="L192" s="14" t="s">
        <v>749</v>
      </c>
      <c r="M192" s="6" t="s">
        <v>750</v>
      </c>
      <c r="N192" s="6" t="s">
        <v>38</v>
      </c>
      <c r="O192" s="6" t="s">
        <v>38</v>
      </c>
      <c r="P192" s="12" t="str">
        <f t="shared" si="1"/>
        <v>Igual</v>
      </c>
    </row>
    <row r="193">
      <c r="A193" s="8">
        <v>122.0</v>
      </c>
      <c r="B193" s="6" t="s">
        <v>29</v>
      </c>
      <c r="C193" s="6" t="s">
        <v>640</v>
      </c>
      <c r="D193" s="6" t="s">
        <v>641</v>
      </c>
      <c r="E193" s="7" t="s">
        <v>746</v>
      </c>
      <c r="F193" s="8">
        <v>2022.0</v>
      </c>
      <c r="G193" s="9" t="s">
        <v>747</v>
      </c>
      <c r="H193" s="6" t="s">
        <v>640</v>
      </c>
      <c r="I193" s="9" t="s">
        <v>34</v>
      </c>
      <c r="J193" s="6" t="s">
        <v>26</v>
      </c>
      <c r="K193" s="6" t="s">
        <v>751</v>
      </c>
      <c r="L193" s="14" t="s">
        <v>752</v>
      </c>
      <c r="M193" s="6" t="s">
        <v>753</v>
      </c>
      <c r="N193" s="6" t="s">
        <v>38</v>
      </c>
      <c r="O193" s="6" t="s">
        <v>38</v>
      </c>
      <c r="P193" s="12" t="str">
        <f t="shared" si="1"/>
        <v>Igual</v>
      </c>
    </row>
    <row r="194">
      <c r="A194" s="8">
        <v>122.0</v>
      </c>
      <c r="B194" s="6" t="s">
        <v>29</v>
      </c>
      <c r="C194" s="6" t="s">
        <v>640</v>
      </c>
      <c r="D194" s="6" t="s">
        <v>641</v>
      </c>
      <c r="E194" s="7" t="s">
        <v>746</v>
      </c>
      <c r="F194" s="8">
        <v>2022.0</v>
      </c>
      <c r="G194" s="9" t="s">
        <v>747</v>
      </c>
      <c r="H194" s="6" t="s">
        <v>640</v>
      </c>
      <c r="I194" s="9" t="s">
        <v>34</v>
      </c>
      <c r="J194" s="6" t="s">
        <v>27</v>
      </c>
      <c r="K194" s="6" t="s">
        <v>754</v>
      </c>
      <c r="L194" s="14" t="s">
        <v>755</v>
      </c>
      <c r="M194" s="6" t="s">
        <v>756</v>
      </c>
      <c r="N194" s="6" t="s">
        <v>38</v>
      </c>
      <c r="O194" s="6" t="s">
        <v>38</v>
      </c>
      <c r="P194" s="12" t="str">
        <f t="shared" si="1"/>
        <v>Igual</v>
      </c>
    </row>
    <row r="195">
      <c r="A195" s="8">
        <v>122.0</v>
      </c>
      <c r="B195" s="6" t="s">
        <v>29</v>
      </c>
      <c r="C195" s="6" t="s">
        <v>640</v>
      </c>
      <c r="D195" s="6" t="s">
        <v>641</v>
      </c>
      <c r="E195" s="7" t="s">
        <v>746</v>
      </c>
      <c r="F195" s="8">
        <v>2022.0</v>
      </c>
      <c r="G195" s="9" t="s">
        <v>747</v>
      </c>
      <c r="H195" s="6" t="s">
        <v>640</v>
      </c>
      <c r="I195" s="9" t="s">
        <v>34</v>
      </c>
      <c r="J195" s="6" t="s">
        <v>28</v>
      </c>
      <c r="K195" s="6" t="s">
        <v>757</v>
      </c>
      <c r="L195" s="14" t="s">
        <v>758</v>
      </c>
      <c r="M195" s="6" t="s">
        <v>759</v>
      </c>
      <c r="N195" s="6" t="s">
        <v>38</v>
      </c>
      <c r="O195" s="6" t="s">
        <v>38</v>
      </c>
      <c r="P195" s="12" t="str">
        <f t="shared" si="1"/>
        <v>Igual</v>
      </c>
    </row>
    <row r="196">
      <c r="A196" s="8">
        <v>127.0</v>
      </c>
      <c r="B196" s="6" t="s">
        <v>29</v>
      </c>
      <c r="C196" s="6" t="s">
        <v>760</v>
      </c>
      <c r="D196" s="6" t="s">
        <v>761</v>
      </c>
      <c r="E196" s="7" t="s">
        <v>762</v>
      </c>
      <c r="F196" s="8">
        <v>2020.0</v>
      </c>
      <c r="G196" s="9" t="s">
        <v>763</v>
      </c>
      <c r="H196" s="6" t="s">
        <v>760</v>
      </c>
      <c r="I196" s="9" t="s">
        <v>34</v>
      </c>
      <c r="J196" s="6" t="s">
        <v>24</v>
      </c>
      <c r="K196" s="6" t="s">
        <v>764</v>
      </c>
      <c r="L196" s="14" t="s">
        <v>765</v>
      </c>
      <c r="M196" s="6" t="s">
        <v>766</v>
      </c>
      <c r="N196" s="6" t="s">
        <v>38</v>
      </c>
      <c r="O196" s="6" t="s">
        <v>38</v>
      </c>
      <c r="P196" s="12" t="str">
        <f t="shared" si="1"/>
        <v>Igual</v>
      </c>
    </row>
    <row r="197">
      <c r="A197" s="8">
        <v>127.0</v>
      </c>
      <c r="B197" s="6" t="s">
        <v>29</v>
      </c>
      <c r="C197" s="6" t="s">
        <v>760</v>
      </c>
      <c r="D197" s="6" t="s">
        <v>761</v>
      </c>
      <c r="E197" s="7" t="s">
        <v>762</v>
      </c>
      <c r="F197" s="8">
        <v>2020.0</v>
      </c>
      <c r="G197" s="9" t="s">
        <v>763</v>
      </c>
      <c r="H197" s="6" t="s">
        <v>760</v>
      </c>
      <c r="I197" s="9" t="s">
        <v>34</v>
      </c>
      <c r="J197" s="6" t="s">
        <v>26</v>
      </c>
      <c r="K197" s="6" t="s">
        <v>767</v>
      </c>
      <c r="L197" s="14" t="s">
        <v>768</v>
      </c>
      <c r="M197" s="6" t="s">
        <v>769</v>
      </c>
      <c r="N197" s="6" t="s">
        <v>38</v>
      </c>
      <c r="O197" s="6" t="s">
        <v>38</v>
      </c>
      <c r="P197" s="12" t="str">
        <f t="shared" si="1"/>
        <v>Igual</v>
      </c>
    </row>
    <row r="198">
      <c r="A198" s="8">
        <v>127.0</v>
      </c>
      <c r="B198" s="6" t="s">
        <v>29</v>
      </c>
      <c r="C198" s="6" t="s">
        <v>760</v>
      </c>
      <c r="D198" s="6" t="s">
        <v>761</v>
      </c>
      <c r="E198" s="7" t="s">
        <v>762</v>
      </c>
      <c r="F198" s="8">
        <v>2020.0</v>
      </c>
      <c r="G198" s="9" t="s">
        <v>763</v>
      </c>
      <c r="H198" s="6" t="s">
        <v>760</v>
      </c>
      <c r="I198" s="9" t="s">
        <v>34</v>
      </c>
      <c r="J198" s="6" t="s">
        <v>27</v>
      </c>
      <c r="K198" s="6" t="s">
        <v>770</v>
      </c>
      <c r="L198" s="14" t="s">
        <v>771</v>
      </c>
      <c r="M198" s="6" t="s">
        <v>772</v>
      </c>
      <c r="N198" s="6" t="s">
        <v>38</v>
      </c>
      <c r="O198" s="6" t="s">
        <v>38</v>
      </c>
      <c r="P198" s="12" t="str">
        <f t="shared" si="1"/>
        <v>Igual</v>
      </c>
    </row>
    <row r="199">
      <c r="A199" s="8">
        <v>127.0</v>
      </c>
      <c r="B199" s="6" t="s">
        <v>29</v>
      </c>
      <c r="C199" s="6" t="s">
        <v>760</v>
      </c>
      <c r="D199" s="6" t="s">
        <v>761</v>
      </c>
      <c r="E199" s="7" t="s">
        <v>762</v>
      </c>
      <c r="F199" s="8">
        <v>2020.0</v>
      </c>
      <c r="G199" s="9" t="s">
        <v>763</v>
      </c>
      <c r="H199" s="6" t="s">
        <v>760</v>
      </c>
      <c r="I199" s="9" t="s">
        <v>34</v>
      </c>
      <c r="J199" s="6" t="s">
        <v>28</v>
      </c>
      <c r="K199" s="6" t="s">
        <v>773</v>
      </c>
      <c r="L199" s="14" t="s">
        <v>774</v>
      </c>
      <c r="M199" s="6" t="s">
        <v>775</v>
      </c>
      <c r="N199" s="6" t="s">
        <v>38</v>
      </c>
      <c r="O199" s="6" t="s">
        <v>38</v>
      </c>
      <c r="P199" s="12" t="str">
        <f t="shared" si="1"/>
        <v>Igual</v>
      </c>
    </row>
    <row r="200">
      <c r="B200" s="12"/>
      <c r="J200" s="12"/>
      <c r="L200" s="21"/>
      <c r="N200" s="12"/>
      <c r="O200" s="12"/>
      <c r="P200" s="12" t="str">
        <f t="shared" si="1"/>
        <v/>
      </c>
    </row>
    <row r="201">
      <c r="B201" s="12"/>
      <c r="J201" s="12"/>
      <c r="L201" s="21"/>
      <c r="N201" s="12"/>
      <c r="O201" s="12"/>
      <c r="P201" s="12" t="str">
        <f t="shared" si="1"/>
        <v/>
      </c>
    </row>
    <row r="202">
      <c r="B202" s="12"/>
      <c r="J202" s="12"/>
      <c r="L202" s="21"/>
      <c r="N202" s="12"/>
      <c r="O202" s="12"/>
      <c r="P202" s="12" t="str">
        <f t="shared" si="1"/>
        <v/>
      </c>
    </row>
    <row r="203">
      <c r="B203" s="12"/>
      <c r="J203" s="12"/>
      <c r="L203" s="21"/>
      <c r="N203" s="12"/>
      <c r="O203" s="12"/>
      <c r="P203" s="12" t="str">
        <f t="shared" si="1"/>
        <v/>
      </c>
    </row>
    <row r="204">
      <c r="B204" s="12"/>
      <c r="J204" s="12"/>
      <c r="L204" s="21"/>
      <c r="N204" s="12"/>
      <c r="O204" s="12"/>
      <c r="P204" s="12" t="str">
        <f t="shared" si="1"/>
        <v/>
      </c>
    </row>
    <row r="205">
      <c r="B205" s="12"/>
      <c r="J205" s="12"/>
      <c r="L205" s="21"/>
      <c r="N205" s="12"/>
      <c r="O205" s="12"/>
      <c r="P205" s="12" t="str">
        <f t="shared" si="1"/>
        <v/>
      </c>
    </row>
    <row r="206">
      <c r="B206" s="12"/>
      <c r="J206" s="12"/>
      <c r="L206" s="21"/>
      <c r="N206" s="12"/>
      <c r="O206" s="12"/>
      <c r="P206" s="12" t="str">
        <f t="shared" si="1"/>
        <v/>
      </c>
    </row>
    <row r="207">
      <c r="B207" s="12"/>
      <c r="J207" s="12"/>
      <c r="L207" s="21"/>
      <c r="N207" s="12"/>
      <c r="O207" s="12"/>
      <c r="P207" s="12" t="str">
        <f t="shared" si="1"/>
        <v/>
      </c>
    </row>
    <row r="208">
      <c r="B208" s="12"/>
      <c r="J208" s="12"/>
      <c r="L208" s="21"/>
      <c r="N208" s="12"/>
      <c r="O208" s="12"/>
      <c r="P208" s="12" t="str">
        <f t="shared" si="1"/>
        <v/>
      </c>
    </row>
    <row r="209">
      <c r="B209" s="12"/>
      <c r="J209" s="12"/>
      <c r="L209" s="21"/>
      <c r="N209" s="12"/>
      <c r="O209" s="12"/>
      <c r="P209" s="12" t="str">
        <f t="shared" si="1"/>
        <v/>
      </c>
    </row>
    <row r="210">
      <c r="B210" s="12"/>
      <c r="J210" s="12"/>
      <c r="L210" s="21"/>
      <c r="N210" s="12"/>
      <c r="O210" s="12"/>
      <c r="P210" s="12" t="str">
        <f t="shared" si="1"/>
        <v/>
      </c>
    </row>
    <row r="211">
      <c r="B211" s="12"/>
      <c r="J211" s="12"/>
      <c r="L211" s="21"/>
      <c r="N211" s="12"/>
      <c r="O211" s="12"/>
      <c r="P211" s="12" t="str">
        <f t="shared" si="1"/>
        <v/>
      </c>
    </row>
    <row r="212">
      <c r="B212" s="12"/>
      <c r="J212" s="12"/>
      <c r="L212" s="21"/>
      <c r="N212" s="12"/>
      <c r="O212" s="12"/>
      <c r="P212" s="12" t="str">
        <f t="shared" si="1"/>
        <v/>
      </c>
    </row>
    <row r="213">
      <c r="B213" s="12"/>
      <c r="J213" s="12"/>
      <c r="L213" s="21"/>
      <c r="N213" s="12"/>
      <c r="O213" s="12"/>
      <c r="P213" s="12" t="str">
        <f t="shared" si="1"/>
        <v/>
      </c>
    </row>
    <row r="214">
      <c r="B214" s="12"/>
      <c r="J214" s="12"/>
      <c r="L214" s="21"/>
      <c r="N214" s="12"/>
      <c r="O214" s="12"/>
      <c r="P214" s="12" t="str">
        <f t="shared" si="1"/>
        <v/>
      </c>
    </row>
    <row r="215">
      <c r="B215" s="12"/>
      <c r="J215" s="12"/>
      <c r="L215" s="21"/>
      <c r="N215" s="12"/>
      <c r="O215" s="12"/>
      <c r="P215" s="12" t="str">
        <f t="shared" si="1"/>
        <v/>
      </c>
    </row>
    <row r="216">
      <c r="B216" s="12"/>
      <c r="J216" s="12"/>
      <c r="L216" s="21"/>
      <c r="N216" s="12"/>
      <c r="O216" s="12"/>
      <c r="P216" s="12" t="str">
        <f t="shared" si="1"/>
        <v/>
      </c>
    </row>
    <row r="217">
      <c r="B217" s="12"/>
      <c r="J217" s="12"/>
      <c r="L217" s="21"/>
      <c r="N217" s="12"/>
      <c r="O217" s="12"/>
      <c r="P217" s="12" t="str">
        <f t="shared" si="1"/>
        <v/>
      </c>
    </row>
    <row r="218">
      <c r="B218" s="12"/>
      <c r="J218" s="12"/>
      <c r="L218" s="21"/>
      <c r="N218" s="12"/>
      <c r="O218" s="12"/>
      <c r="P218" s="12" t="str">
        <f t="shared" si="1"/>
        <v/>
      </c>
    </row>
    <row r="219">
      <c r="B219" s="12"/>
      <c r="J219" s="12"/>
      <c r="L219" s="21"/>
      <c r="N219" s="12"/>
      <c r="O219" s="12"/>
      <c r="P219" s="12" t="str">
        <f t="shared" si="1"/>
        <v/>
      </c>
    </row>
    <row r="220">
      <c r="B220" s="12"/>
      <c r="J220" s="12"/>
      <c r="L220" s="21"/>
      <c r="N220" s="12"/>
      <c r="O220" s="12"/>
      <c r="P220" s="12" t="str">
        <f t="shared" si="1"/>
        <v/>
      </c>
    </row>
    <row r="221">
      <c r="B221" s="12"/>
      <c r="J221" s="12"/>
      <c r="L221" s="21"/>
      <c r="N221" s="12"/>
      <c r="O221" s="12"/>
      <c r="P221" s="12" t="str">
        <f t="shared" si="1"/>
        <v/>
      </c>
    </row>
    <row r="222">
      <c r="B222" s="12"/>
      <c r="J222" s="12"/>
      <c r="L222" s="21"/>
      <c r="N222" s="12"/>
      <c r="O222" s="12"/>
      <c r="P222" s="12" t="str">
        <f t="shared" si="1"/>
        <v/>
      </c>
    </row>
    <row r="223">
      <c r="B223" s="12"/>
      <c r="J223" s="12"/>
      <c r="L223" s="21"/>
      <c r="N223" s="12"/>
      <c r="O223" s="12"/>
      <c r="P223" s="12" t="str">
        <f t="shared" si="1"/>
        <v/>
      </c>
    </row>
    <row r="224">
      <c r="B224" s="12"/>
      <c r="J224" s="12"/>
      <c r="L224" s="21"/>
      <c r="N224" s="12"/>
      <c r="O224" s="12"/>
      <c r="P224" s="12" t="str">
        <f t="shared" si="1"/>
        <v/>
      </c>
    </row>
    <row r="225">
      <c r="B225" s="12"/>
      <c r="J225" s="12"/>
      <c r="L225" s="21"/>
      <c r="N225" s="12"/>
      <c r="O225" s="12"/>
      <c r="P225" s="12" t="str">
        <f t="shared" si="1"/>
        <v/>
      </c>
    </row>
    <row r="226">
      <c r="B226" s="12"/>
      <c r="J226" s="12"/>
      <c r="L226" s="21"/>
      <c r="N226" s="12"/>
      <c r="O226" s="12"/>
      <c r="P226" s="12" t="str">
        <f t="shared" si="1"/>
        <v/>
      </c>
    </row>
    <row r="227">
      <c r="B227" s="12"/>
      <c r="J227" s="12"/>
      <c r="L227" s="21"/>
      <c r="N227" s="12"/>
      <c r="O227" s="12"/>
      <c r="P227" s="12" t="str">
        <f t="shared" si="1"/>
        <v/>
      </c>
    </row>
    <row r="228">
      <c r="B228" s="12"/>
      <c r="J228" s="12"/>
      <c r="L228" s="21"/>
      <c r="N228" s="12"/>
      <c r="O228" s="12"/>
      <c r="P228" s="12" t="str">
        <f t="shared" si="1"/>
        <v/>
      </c>
    </row>
    <row r="229">
      <c r="B229" s="12"/>
      <c r="J229" s="12"/>
      <c r="L229" s="21"/>
      <c r="N229" s="12"/>
      <c r="O229" s="12"/>
      <c r="P229" s="12" t="str">
        <f t="shared" si="1"/>
        <v/>
      </c>
    </row>
    <row r="230">
      <c r="B230" s="12"/>
      <c r="J230" s="12"/>
      <c r="L230" s="21"/>
      <c r="N230" s="12"/>
      <c r="O230" s="12"/>
      <c r="P230" s="12" t="str">
        <f t="shared" si="1"/>
        <v/>
      </c>
    </row>
    <row r="231">
      <c r="B231" s="12"/>
      <c r="J231" s="12"/>
      <c r="L231" s="21"/>
      <c r="N231" s="12"/>
      <c r="O231" s="12"/>
      <c r="P231" s="12" t="str">
        <f t="shared" si="1"/>
        <v/>
      </c>
    </row>
    <row r="232">
      <c r="B232" s="12"/>
      <c r="J232" s="12"/>
      <c r="L232" s="21"/>
      <c r="N232" s="12"/>
      <c r="O232" s="12"/>
      <c r="P232" s="12" t="str">
        <f t="shared" si="1"/>
        <v/>
      </c>
    </row>
    <row r="233">
      <c r="B233" s="12"/>
      <c r="J233" s="12"/>
      <c r="L233" s="21"/>
      <c r="N233" s="12"/>
      <c r="O233" s="12"/>
      <c r="P233" s="12" t="str">
        <f t="shared" si="1"/>
        <v/>
      </c>
    </row>
    <row r="234">
      <c r="B234" s="12"/>
      <c r="J234" s="12"/>
      <c r="L234" s="21"/>
      <c r="N234" s="12"/>
      <c r="O234" s="12"/>
      <c r="P234" s="12" t="str">
        <f t="shared" si="1"/>
        <v/>
      </c>
    </row>
    <row r="235">
      <c r="B235" s="12"/>
      <c r="J235" s="12"/>
      <c r="L235" s="21"/>
      <c r="N235" s="12"/>
      <c r="O235" s="12"/>
      <c r="P235" s="12" t="str">
        <f t="shared" si="1"/>
        <v/>
      </c>
    </row>
    <row r="236">
      <c r="B236" s="12"/>
      <c r="J236" s="12"/>
      <c r="L236" s="21"/>
      <c r="N236" s="12"/>
      <c r="O236" s="12"/>
      <c r="P236" s="12" t="str">
        <f t="shared" si="1"/>
        <v/>
      </c>
    </row>
    <row r="237">
      <c r="B237" s="12"/>
      <c r="J237" s="12"/>
      <c r="L237" s="21"/>
      <c r="N237" s="12"/>
      <c r="O237" s="12"/>
      <c r="P237" s="12" t="str">
        <f t="shared" si="1"/>
        <v/>
      </c>
    </row>
    <row r="238">
      <c r="B238" s="12"/>
      <c r="J238" s="12"/>
      <c r="L238" s="21"/>
      <c r="N238" s="12"/>
      <c r="O238" s="12"/>
      <c r="P238" s="12" t="str">
        <f t="shared" si="1"/>
        <v/>
      </c>
    </row>
    <row r="239">
      <c r="B239" s="12"/>
      <c r="J239" s="12"/>
      <c r="L239" s="21"/>
      <c r="N239" s="12"/>
      <c r="O239" s="12"/>
      <c r="P239" s="12" t="str">
        <f t="shared" si="1"/>
        <v/>
      </c>
    </row>
    <row r="240">
      <c r="B240" s="12"/>
      <c r="J240" s="12"/>
      <c r="L240" s="21"/>
      <c r="N240" s="12"/>
      <c r="O240" s="12"/>
      <c r="P240" s="12" t="str">
        <f t="shared" si="1"/>
        <v/>
      </c>
    </row>
    <row r="241">
      <c r="B241" s="12"/>
      <c r="J241" s="12"/>
      <c r="L241" s="21"/>
      <c r="N241" s="12"/>
      <c r="O241" s="12"/>
      <c r="P241" s="12" t="str">
        <f t="shared" si="1"/>
        <v/>
      </c>
    </row>
    <row r="242">
      <c r="B242" s="12"/>
      <c r="J242" s="12"/>
      <c r="L242" s="21"/>
      <c r="N242" s="12"/>
      <c r="O242" s="12"/>
      <c r="P242" s="12" t="str">
        <f t="shared" si="1"/>
        <v/>
      </c>
    </row>
    <row r="243">
      <c r="B243" s="12"/>
      <c r="J243" s="12"/>
      <c r="L243" s="21"/>
      <c r="N243" s="12"/>
      <c r="O243" s="12"/>
      <c r="P243" s="12" t="str">
        <f t="shared" si="1"/>
        <v/>
      </c>
    </row>
    <row r="244">
      <c r="B244" s="12"/>
      <c r="J244" s="12"/>
      <c r="L244" s="21"/>
      <c r="N244" s="12"/>
      <c r="O244" s="12"/>
      <c r="P244" s="12" t="str">
        <f t="shared" si="1"/>
        <v/>
      </c>
    </row>
    <row r="245">
      <c r="B245" s="12"/>
      <c r="J245" s="12"/>
      <c r="L245" s="21"/>
      <c r="N245" s="12"/>
      <c r="O245" s="12"/>
      <c r="P245" s="12" t="str">
        <f t="shared" si="1"/>
        <v/>
      </c>
    </row>
    <row r="246">
      <c r="B246" s="12"/>
      <c r="J246" s="12"/>
      <c r="L246" s="21"/>
      <c r="N246" s="12"/>
      <c r="O246" s="12"/>
      <c r="P246" s="12" t="str">
        <f t="shared" si="1"/>
        <v/>
      </c>
    </row>
    <row r="247">
      <c r="B247" s="12"/>
      <c r="J247" s="12"/>
      <c r="L247" s="21"/>
      <c r="N247" s="12"/>
      <c r="O247" s="12"/>
      <c r="P247" s="12" t="str">
        <f t="shared" si="1"/>
        <v/>
      </c>
    </row>
    <row r="248">
      <c r="B248" s="12"/>
      <c r="J248" s="12"/>
      <c r="L248" s="21"/>
      <c r="N248" s="12"/>
      <c r="O248" s="12"/>
      <c r="P248" s="12" t="str">
        <f t="shared" si="1"/>
        <v/>
      </c>
    </row>
    <row r="249">
      <c r="B249" s="12"/>
      <c r="J249" s="12"/>
      <c r="L249" s="21"/>
      <c r="N249" s="12"/>
      <c r="O249" s="12"/>
      <c r="P249" s="12" t="str">
        <f t="shared" si="1"/>
        <v/>
      </c>
    </row>
    <row r="250">
      <c r="B250" s="12"/>
      <c r="J250" s="12"/>
      <c r="L250" s="21"/>
      <c r="N250" s="12"/>
      <c r="O250" s="12"/>
      <c r="P250" s="12" t="str">
        <f t="shared" si="1"/>
        <v/>
      </c>
    </row>
    <row r="251">
      <c r="B251" s="12"/>
      <c r="J251" s="12"/>
      <c r="L251" s="21"/>
      <c r="N251" s="12"/>
      <c r="O251" s="12"/>
      <c r="P251" s="12" t="str">
        <f t="shared" si="1"/>
        <v/>
      </c>
    </row>
    <row r="252">
      <c r="B252" s="12"/>
      <c r="J252" s="12"/>
      <c r="L252" s="21"/>
      <c r="N252" s="12"/>
      <c r="O252" s="12"/>
      <c r="P252" s="12" t="str">
        <f t="shared" si="1"/>
        <v/>
      </c>
    </row>
    <row r="253">
      <c r="B253" s="12"/>
      <c r="J253" s="12"/>
      <c r="L253" s="21"/>
      <c r="N253" s="12"/>
      <c r="O253" s="12"/>
      <c r="P253" s="12" t="str">
        <f t="shared" si="1"/>
        <v/>
      </c>
    </row>
    <row r="254">
      <c r="B254" s="12"/>
      <c r="J254" s="12"/>
      <c r="L254" s="21"/>
      <c r="N254" s="12"/>
      <c r="O254" s="12"/>
      <c r="P254" s="12" t="str">
        <f t="shared" si="1"/>
        <v/>
      </c>
    </row>
    <row r="255">
      <c r="B255" s="12"/>
      <c r="J255" s="12"/>
      <c r="L255" s="21"/>
      <c r="N255" s="12"/>
      <c r="O255" s="12"/>
      <c r="P255" s="12" t="str">
        <f t="shared" si="1"/>
        <v/>
      </c>
    </row>
    <row r="256">
      <c r="B256" s="12"/>
      <c r="J256" s="12"/>
      <c r="L256" s="21"/>
      <c r="N256" s="12"/>
      <c r="O256" s="12"/>
      <c r="P256" s="12" t="str">
        <f t="shared" si="1"/>
        <v/>
      </c>
    </row>
    <row r="257">
      <c r="B257" s="12"/>
      <c r="J257" s="12"/>
      <c r="L257" s="21"/>
      <c r="N257" s="12"/>
      <c r="O257" s="12"/>
      <c r="P257" s="12" t="str">
        <f t="shared" si="1"/>
        <v/>
      </c>
    </row>
    <row r="258">
      <c r="B258" s="12"/>
      <c r="J258" s="12"/>
      <c r="L258" s="21"/>
      <c r="N258" s="12"/>
      <c r="O258" s="12"/>
      <c r="P258" s="12" t="str">
        <f t="shared" si="1"/>
        <v/>
      </c>
    </row>
    <row r="259">
      <c r="B259" s="12"/>
      <c r="J259" s="12"/>
      <c r="L259" s="21"/>
      <c r="N259" s="12"/>
      <c r="O259" s="12"/>
      <c r="P259" s="12" t="str">
        <f t="shared" si="1"/>
        <v/>
      </c>
    </row>
    <row r="260">
      <c r="B260" s="12"/>
      <c r="J260" s="12"/>
      <c r="L260" s="21"/>
      <c r="N260" s="12"/>
      <c r="O260" s="12"/>
      <c r="P260" s="12" t="str">
        <f t="shared" si="1"/>
        <v/>
      </c>
    </row>
    <row r="261">
      <c r="B261" s="12"/>
      <c r="J261" s="12"/>
      <c r="L261" s="21"/>
      <c r="N261" s="12"/>
      <c r="O261" s="12"/>
      <c r="P261" s="12" t="str">
        <f t="shared" si="1"/>
        <v/>
      </c>
    </row>
    <row r="262">
      <c r="B262" s="12"/>
      <c r="J262" s="12"/>
      <c r="L262" s="21"/>
      <c r="N262" s="12"/>
      <c r="O262" s="12"/>
      <c r="P262" s="12" t="str">
        <f t="shared" si="1"/>
        <v/>
      </c>
    </row>
    <row r="263">
      <c r="B263" s="12"/>
      <c r="J263" s="12"/>
      <c r="L263" s="21"/>
      <c r="N263" s="12"/>
      <c r="O263" s="12"/>
      <c r="P263" s="12" t="str">
        <f t="shared" si="1"/>
        <v/>
      </c>
    </row>
    <row r="264">
      <c r="B264" s="12"/>
      <c r="J264" s="12"/>
      <c r="L264" s="21"/>
      <c r="N264" s="12"/>
      <c r="O264" s="12"/>
      <c r="P264" s="12" t="str">
        <f t="shared" si="1"/>
        <v/>
      </c>
    </row>
    <row r="265">
      <c r="B265" s="12"/>
      <c r="J265" s="12"/>
      <c r="L265" s="21"/>
      <c r="N265" s="12"/>
      <c r="O265" s="12"/>
      <c r="P265" s="12" t="str">
        <f t="shared" si="1"/>
        <v/>
      </c>
    </row>
    <row r="266">
      <c r="B266" s="12"/>
      <c r="J266" s="12"/>
      <c r="L266" s="21"/>
      <c r="N266" s="12"/>
      <c r="O266" s="12"/>
      <c r="P266" s="12" t="str">
        <f t="shared" si="1"/>
        <v/>
      </c>
    </row>
    <row r="267">
      <c r="B267" s="12"/>
      <c r="J267" s="12"/>
      <c r="L267" s="21"/>
      <c r="N267" s="12"/>
      <c r="O267" s="12"/>
      <c r="P267" s="12" t="str">
        <f t="shared" si="1"/>
        <v/>
      </c>
    </row>
    <row r="268">
      <c r="B268" s="12"/>
      <c r="J268" s="12"/>
      <c r="L268" s="21"/>
      <c r="N268" s="12"/>
      <c r="O268" s="12"/>
      <c r="P268" s="12" t="str">
        <f t="shared" si="1"/>
        <v/>
      </c>
    </row>
    <row r="269">
      <c r="B269" s="12"/>
      <c r="J269" s="12"/>
      <c r="L269" s="21"/>
      <c r="N269" s="12"/>
      <c r="O269" s="12"/>
      <c r="P269" s="12" t="str">
        <f t="shared" si="1"/>
        <v/>
      </c>
    </row>
    <row r="270">
      <c r="B270" s="12"/>
      <c r="J270" s="12"/>
      <c r="L270" s="21"/>
      <c r="N270" s="12"/>
      <c r="O270" s="12"/>
      <c r="P270" s="12" t="str">
        <f t="shared" si="1"/>
        <v/>
      </c>
    </row>
    <row r="271">
      <c r="B271" s="12"/>
      <c r="J271" s="12"/>
      <c r="L271" s="21"/>
      <c r="N271" s="12"/>
      <c r="O271" s="12"/>
      <c r="P271" s="12" t="str">
        <f t="shared" si="1"/>
        <v/>
      </c>
    </row>
    <row r="272">
      <c r="B272" s="12"/>
      <c r="J272" s="12"/>
      <c r="L272" s="21"/>
      <c r="N272" s="12"/>
      <c r="O272" s="12"/>
      <c r="P272" s="12" t="str">
        <f t="shared" si="1"/>
        <v/>
      </c>
    </row>
    <row r="273">
      <c r="B273" s="12"/>
      <c r="J273" s="12"/>
      <c r="L273" s="21"/>
      <c r="N273" s="12"/>
      <c r="O273" s="12"/>
      <c r="P273" s="12" t="str">
        <f t="shared" si="1"/>
        <v/>
      </c>
    </row>
    <row r="274">
      <c r="B274" s="12"/>
      <c r="J274" s="12"/>
      <c r="L274" s="21"/>
      <c r="N274" s="12"/>
      <c r="O274" s="12"/>
      <c r="P274" s="12" t="str">
        <f t="shared" si="1"/>
        <v/>
      </c>
    </row>
    <row r="275">
      <c r="B275" s="12"/>
      <c r="J275" s="12"/>
      <c r="L275" s="21"/>
      <c r="N275" s="12"/>
      <c r="O275" s="12"/>
      <c r="P275" s="12" t="str">
        <f t="shared" si="1"/>
        <v/>
      </c>
    </row>
    <row r="276">
      <c r="B276" s="12"/>
      <c r="J276" s="12"/>
      <c r="L276" s="21"/>
      <c r="N276" s="12"/>
      <c r="O276" s="12"/>
      <c r="P276" s="12" t="str">
        <f t="shared" si="1"/>
        <v/>
      </c>
    </row>
    <row r="277">
      <c r="B277" s="12"/>
      <c r="J277" s="12"/>
      <c r="L277" s="21"/>
      <c r="N277" s="12"/>
      <c r="O277" s="12"/>
      <c r="P277" s="12" t="str">
        <f t="shared" si="1"/>
        <v/>
      </c>
    </row>
    <row r="278">
      <c r="B278" s="12"/>
      <c r="J278" s="12"/>
      <c r="L278" s="21"/>
      <c r="N278" s="12"/>
      <c r="O278" s="12"/>
      <c r="P278" s="12" t="str">
        <f t="shared" si="1"/>
        <v/>
      </c>
    </row>
    <row r="279">
      <c r="B279" s="12"/>
      <c r="J279" s="12"/>
      <c r="L279" s="21"/>
      <c r="N279" s="12"/>
      <c r="O279" s="12"/>
      <c r="P279" s="12" t="str">
        <f t="shared" si="1"/>
        <v/>
      </c>
    </row>
    <row r="280">
      <c r="B280" s="12"/>
      <c r="J280" s="12"/>
      <c r="L280" s="21"/>
      <c r="N280" s="12"/>
      <c r="O280" s="12"/>
      <c r="P280" s="12" t="str">
        <f t="shared" si="1"/>
        <v/>
      </c>
    </row>
    <row r="281">
      <c r="B281" s="12"/>
      <c r="J281" s="12"/>
      <c r="L281" s="21"/>
      <c r="N281" s="12"/>
      <c r="O281" s="12"/>
      <c r="P281" s="12" t="str">
        <f t="shared" si="1"/>
        <v/>
      </c>
    </row>
    <row r="282">
      <c r="B282" s="12"/>
      <c r="J282" s="12"/>
      <c r="L282" s="21"/>
      <c r="N282" s="12"/>
      <c r="O282" s="12"/>
      <c r="P282" s="12" t="str">
        <f t="shared" si="1"/>
        <v/>
      </c>
    </row>
    <row r="283">
      <c r="B283" s="12"/>
      <c r="J283" s="12"/>
      <c r="L283" s="21"/>
      <c r="N283" s="12"/>
      <c r="O283" s="12"/>
      <c r="P283" s="12" t="str">
        <f t="shared" si="1"/>
        <v/>
      </c>
    </row>
    <row r="284">
      <c r="B284" s="12"/>
      <c r="J284" s="12"/>
      <c r="L284" s="21"/>
      <c r="N284" s="12"/>
      <c r="O284" s="12"/>
      <c r="P284" s="12" t="str">
        <f t="shared" si="1"/>
        <v/>
      </c>
    </row>
    <row r="285">
      <c r="B285" s="12"/>
      <c r="J285" s="12"/>
      <c r="L285" s="21"/>
      <c r="N285" s="12"/>
      <c r="O285" s="12"/>
      <c r="P285" s="12" t="str">
        <f t="shared" si="1"/>
        <v/>
      </c>
    </row>
    <row r="286">
      <c r="B286" s="12"/>
      <c r="J286" s="12"/>
      <c r="L286" s="21"/>
      <c r="N286" s="12"/>
      <c r="O286" s="12"/>
      <c r="P286" s="12" t="str">
        <f t="shared" si="1"/>
        <v/>
      </c>
    </row>
    <row r="287">
      <c r="B287" s="12"/>
      <c r="J287" s="12"/>
      <c r="L287" s="21"/>
      <c r="N287" s="12"/>
      <c r="O287" s="12"/>
      <c r="P287" s="12" t="str">
        <f t="shared" si="1"/>
        <v/>
      </c>
    </row>
    <row r="288">
      <c r="B288" s="12"/>
      <c r="J288" s="12"/>
      <c r="L288" s="21"/>
      <c r="N288" s="12"/>
      <c r="O288" s="12"/>
      <c r="P288" s="12" t="str">
        <f t="shared" si="1"/>
        <v/>
      </c>
    </row>
    <row r="289">
      <c r="B289" s="12"/>
      <c r="J289" s="12"/>
      <c r="L289" s="21"/>
      <c r="N289" s="12"/>
      <c r="O289" s="12"/>
      <c r="P289" s="12" t="str">
        <f t="shared" si="1"/>
        <v/>
      </c>
    </row>
    <row r="290">
      <c r="B290" s="12"/>
      <c r="J290" s="12"/>
      <c r="L290" s="21"/>
      <c r="N290" s="12"/>
      <c r="O290" s="12"/>
      <c r="P290" s="12" t="str">
        <f t="shared" si="1"/>
        <v/>
      </c>
    </row>
    <row r="291">
      <c r="B291" s="12"/>
      <c r="J291" s="12"/>
      <c r="L291" s="21"/>
      <c r="N291" s="12"/>
      <c r="O291" s="12"/>
      <c r="P291" s="12" t="str">
        <f t="shared" si="1"/>
        <v/>
      </c>
    </row>
    <row r="292">
      <c r="B292" s="12"/>
      <c r="J292" s="12"/>
      <c r="L292" s="21"/>
      <c r="N292" s="12"/>
      <c r="O292" s="12"/>
      <c r="P292" s="12" t="str">
        <f t="shared" si="1"/>
        <v/>
      </c>
    </row>
    <row r="293">
      <c r="B293" s="12"/>
      <c r="J293" s="12"/>
      <c r="L293" s="21"/>
      <c r="N293" s="12"/>
      <c r="O293" s="12"/>
      <c r="P293" s="12" t="str">
        <f t="shared" si="1"/>
        <v/>
      </c>
    </row>
    <row r="294">
      <c r="B294" s="12"/>
      <c r="J294" s="12"/>
      <c r="L294" s="21"/>
      <c r="N294" s="12"/>
      <c r="O294" s="12"/>
      <c r="P294" s="12" t="str">
        <f t="shared" si="1"/>
        <v/>
      </c>
    </row>
    <row r="295">
      <c r="B295" s="12"/>
      <c r="J295" s="12"/>
      <c r="L295" s="21"/>
      <c r="N295" s="12"/>
      <c r="O295" s="12"/>
      <c r="P295" s="12" t="str">
        <f t="shared" si="1"/>
        <v/>
      </c>
    </row>
    <row r="296">
      <c r="B296" s="12"/>
      <c r="J296" s="12"/>
      <c r="L296" s="21"/>
      <c r="N296" s="12"/>
      <c r="O296" s="12"/>
      <c r="P296" s="12" t="str">
        <f t="shared" si="1"/>
        <v/>
      </c>
    </row>
    <row r="297">
      <c r="B297" s="12"/>
      <c r="J297" s="12"/>
      <c r="L297" s="21"/>
      <c r="N297" s="12"/>
      <c r="O297" s="12"/>
      <c r="P297" s="12" t="str">
        <f t="shared" si="1"/>
        <v/>
      </c>
    </row>
    <row r="298">
      <c r="B298" s="12"/>
      <c r="J298" s="12"/>
      <c r="L298" s="21"/>
      <c r="N298" s="12"/>
      <c r="O298" s="12"/>
      <c r="P298" s="12" t="str">
        <f t="shared" si="1"/>
        <v/>
      </c>
    </row>
    <row r="299">
      <c r="B299" s="12"/>
      <c r="J299" s="12"/>
      <c r="L299" s="21"/>
      <c r="N299" s="12"/>
      <c r="O299" s="12"/>
      <c r="P299" s="12" t="str">
        <f t="shared" si="1"/>
        <v/>
      </c>
    </row>
    <row r="300">
      <c r="B300" s="12"/>
      <c r="J300" s="12"/>
      <c r="L300" s="21"/>
      <c r="N300" s="12"/>
      <c r="O300" s="12"/>
      <c r="P300" s="12" t="str">
        <f t="shared" si="1"/>
        <v/>
      </c>
    </row>
    <row r="301">
      <c r="B301" s="12"/>
      <c r="J301" s="12"/>
      <c r="L301" s="21"/>
      <c r="N301" s="12"/>
      <c r="O301" s="12"/>
      <c r="P301" s="12" t="str">
        <f t="shared" si="1"/>
        <v/>
      </c>
    </row>
    <row r="302">
      <c r="B302" s="12"/>
      <c r="J302" s="12"/>
      <c r="L302" s="21"/>
      <c r="N302" s="12"/>
      <c r="O302" s="12"/>
      <c r="P302" s="12" t="str">
        <f t="shared" si="1"/>
        <v/>
      </c>
    </row>
    <row r="303">
      <c r="B303" s="12"/>
      <c r="J303" s="12"/>
      <c r="L303" s="21"/>
      <c r="N303" s="12"/>
      <c r="O303" s="12"/>
      <c r="P303" s="12" t="str">
        <f t="shared" si="1"/>
        <v/>
      </c>
    </row>
    <row r="304">
      <c r="B304" s="12"/>
      <c r="J304" s="12"/>
      <c r="L304" s="21"/>
      <c r="N304" s="12"/>
      <c r="O304" s="12"/>
      <c r="P304" s="12" t="str">
        <f t="shared" si="1"/>
        <v/>
      </c>
    </row>
    <row r="305">
      <c r="B305" s="12"/>
      <c r="J305" s="12"/>
      <c r="L305" s="21"/>
      <c r="N305" s="12"/>
      <c r="O305" s="12"/>
      <c r="P305" s="12" t="str">
        <f t="shared" si="1"/>
        <v/>
      </c>
    </row>
    <row r="306">
      <c r="B306" s="12"/>
      <c r="J306" s="12"/>
      <c r="L306" s="21"/>
      <c r="N306" s="12"/>
      <c r="O306" s="12"/>
      <c r="P306" s="12" t="str">
        <f t="shared" si="1"/>
        <v/>
      </c>
    </row>
    <row r="307">
      <c r="B307" s="12"/>
      <c r="J307" s="12"/>
      <c r="L307" s="21"/>
      <c r="N307" s="12"/>
      <c r="O307" s="12"/>
      <c r="P307" s="12" t="str">
        <f t="shared" si="1"/>
        <v/>
      </c>
    </row>
    <row r="308">
      <c r="B308" s="12"/>
      <c r="J308" s="12"/>
      <c r="L308" s="21"/>
      <c r="N308" s="12"/>
      <c r="O308" s="12"/>
      <c r="P308" s="12" t="str">
        <f t="shared" si="1"/>
        <v/>
      </c>
    </row>
    <row r="309">
      <c r="B309" s="12"/>
      <c r="J309" s="12"/>
      <c r="L309" s="21"/>
      <c r="N309" s="12"/>
      <c r="O309" s="12"/>
      <c r="P309" s="12" t="str">
        <f t="shared" si="1"/>
        <v/>
      </c>
    </row>
    <row r="310">
      <c r="B310" s="12"/>
      <c r="J310" s="12"/>
      <c r="L310" s="21"/>
      <c r="N310" s="12"/>
      <c r="O310" s="12"/>
      <c r="P310" s="12" t="str">
        <f t="shared" si="1"/>
        <v/>
      </c>
    </row>
    <row r="311">
      <c r="B311" s="12"/>
      <c r="J311" s="12"/>
      <c r="L311" s="21"/>
      <c r="N311" s="12"/>
      <c r="O311" s="12"/>
      <c r="P311" s="12" t="str">
        <f t="shared" si="1"/>
        <v/>
      </c>
    </row>
    <row r="312">
      <c r="B312" s="12"/>
      <c r="J312" s="12"/>
      <c r="L312" s="21"/>
      <c r="N312" s="12"/>
      <c r="O312" s="12"/>
      <c r="P312" s="12" t="str">
        <f t="shared" si="1"/>
        <v/>
      </c>
    </row>
    <row r="313">
      <c r="B313" s="12"/>
      <c r="J313" s="12"/>
      <c r="L313" s="21"/>
      <c r="N313" s="12"/>
      <c r="O313" s="12"/>
      <c r="P313" s="12" t="str">
        <f t="shared" si="1"/>
        <v/>
      </c>
    </row>
    <row r="314">
      <c r="B314" s="12"/>
      <c r="J314" s="12"/>
      <c r="L314" s="21"/>
      <c r="N314" s="12"/>
      <c r="O314" s="12"/>
      <c r="P314" s="12" t="str">
        <f t="shared" si="1"/>
        <v/>
      </c>
    </row>
    <row r="315">
      <c r="B315" s="12"/>
      <c r="J315" s="12"/>
      <c r="L315" s="21"/>
      <c r="N315" s="12"/>
      <c r="O315" s="12"/>
      <c r="P315" s="12" t="str">
        <f t="shared" si="1"/>
        <v/>
      </c>
    </row>
    <row r="316">
      <c r="B316" s="12"/>
      <c r="J316" s="12"/>
      <c r="L316" s="21"/>
      <c r="N316" s="12"/>
      <c r="O316" s="12"/>
      <c r="P316" s="12" t="str">
        <f t="shared" si="1"/>
        <v/>
      </c>
    </row>
    <row r="317">
      <c r="B317" s="12"/>
      <c r="J317" s="12"/>
      <c r="L317" s="21"/>
      <c r="N317" s="12"/>
      <c r="O317" s="12"/>
      <c r="P317" s="12" t="str">
        <f t="shared" si="1"/>
        <v/>
      </c>
    </row>
    <row r="318">
      <c r="B318" s="12"/>
      <c r="J318" s="12"/>
      <c r="L318" s="21"/>
      <c r="N318" s="12"/>
      <c r="O318" s="12"/>
      <c r="P318" s="12" t="str">
        <f t="shared" si="1"/>
        <v/>
      </c>
    </row>
    <row r="319">
      <c r="B319" s="12"/>
      <c r="J319" s="12"/>
      <c r="L319" s="21"/>
      <c r="N319" s="12"/>
      <c r="O319" s="12"/>
      <c r="P319" s="12" t="str">
        <f t="shared" si="1"/>
        <v/>
      </c>
    </row>
    <row r="320">
      <c r="B320" s="12"/>
      <c r="J320" s="12"/>
      <c r="L320" s="21"/>
      <c r="N320" s="12"/>
      <c r="O320" s="12"/>
      <c r="P320" s="12" t="str">
        <f t="shared" si="1"/>
        <v/>
      </c>
    </row>
    <row r="321">
      <c r="B321" s="12"/>
      <c r="J321" s="12"/>
      <c r="L321" s="21"/>
      <c r="N321" s="12"/>
      <c r="O321" s="12"/>
      <c r="P321" s="12" t="str">
        <f t="shared" si="1"/>
        <v/>
      </c>
    </row>
    <row r="322">
      <c r="B322" s="12"/>
      <c r="J322" s="12"/>
      <c r="L322" s="21"/>
      <c r="N322" s="12"/>
      <c r="O322" s="12"/>
      <c r="P322" s="12" t="str">
        <f t="shared" si="1"/>
        <v/>
      </c>
    </row>
    <row r="323">
      <c r="B323" s="12"/>
      <c r="J323" s="12"/>
      <c r="L323" s="21"/>
      <c r="N323" s="12"/>
      <c r="O323" s="12"/>
      <c r="P323" s="12" t="str">
        <f t="shared" si="1"/>
        <v/>
      </c>
    </row>
    <row r="324">
      <c r="B324" s="12"/>
      <c r="J324" s="12"/>
      <c r="L324" s="21"/>
      <c r="N324" s="12"/>
      <c r="O324" s="12"/>
      <c r="P324" s="12" t="str">
        <f t="shared" si="1"/>
        <v/>
      </c>
    </row>
    <row r="325">
      <c r="B325" s="12"/>
      <c r="J325" s="12"/>
      <c r="L325" s="21"/>
      <c r="N325" s="12"/>
      <c r="O325" s="12"/>
      <c r="P325" s="12" t="str">
        <f t="shared" si="1"/>
        <v/>
      </c>
    </row>
    <row r="326">
      <c r="B326" s="12"/>
      <c r="J326" s="12"/>
      <c r="L326" s="21"/>
      <c r="N326" s="12"/>
      <c r="O326" s="12"/>
      <c r="P326" s="12" t="str">
        <f t="shared" si="1"/>
        <v/>
      </c>
    </row>
    <row r="327">
      <c r="B327" s="12"/>
      <c r="J327" s="12"/>
      <c r="L327" s="21"/>
      <c r="N327" s="12"/>
      <c r="O327" s="12"/>
      <c r="P327" s="12" t="str">
        <f t="shared" si="1"/>
        <v/>
      </c>
    </row>
    <row r="328">
      <c r="B328" s="12"/>
      <c r="J328" s="12"/>
      <c r="L328" s="21"/>
      <c r="N328" s="12"/>
      <c r="O328" s="12"/>
      <c r="P328" s="12" t="str">
        <f t="shared" si="1"/>
        <v/>
      </c>
    </row>
    <row r="329">
      <c r="B329" s="12"/>
      <c r="J329" s="12"/>
      <c r="L329" s="21"/>
      <c r="N329" s="12"/>
      <c r="O329" s="12"/>
      <c r="P329" s="12" t="str">
        <f t="shared" si="1"/>
        <v/>
      </c>
    </row>
    <row r="330">
      <c r="B330" s="12"/>
      <c r="J330" s="12"/>
      <c r="L330" s="21"/>
      <c r="N330" s="12"/>
      <c r="O330" s="12"/>
      <c r="P330" s="12" t="str">
        <f t="shared" si="1"/>
        <v/>
      </c>
    </row>
    <row r="331">
      <c r="B331" s="12"/>
      <c r="J331" s="12"/>
      <c r="L331" s="21"/>
      <c r="N331" s="12"/>
      <c r="O331" s="12"/>
      <c r="P331" s="12" t="str">
        <f t="shared" si="1"/>
        <v/>
      </c>
    </row>
    <row r="332">
      <c r="B332" s="12"/>
      <c r="J332" s="12"/>
      <c r="L332" s="21"/>
      <c r="N332" s="12"/>
      <c r="O332" s="12"/>
      <c r="P332" s="12" t="str">
        <f t="shared" si="1"/>
        <v/>
      </c>
    </row>
    <row r="333">
      <c r="B333" s="12"/>
      <c r="J333" s="12"/>
      <c r="L333" s="21"/>
      <c r="N333" s="12"/>
      <c r="O333" s="12"/>
      <c r="P333" s="12" t="str">
        <f t="shared" si="1"/>
        <v/>
      </c>
    </row>
    <row r="334">
      <c r="B334" s="12"/>
      <c r="J334" s="12"/>
      <c r="L334" s="21"/>
      <c r="N334" s="12"/>
      <c r="O334" s="12"/>
      <c r="P334" s="12" t="str">
        <f t="shared" si="1"/>
        <v/>
      </c>
    </row>
    <row r="335">
      <c r="B335" s="12"/>
      <c r="J335" s="12"/>
      <c r="L335" s="21"/>
      <c r="N335" s="12"/>
      <c r="O335" s="12"/>
      <c r="P335" s="12" t="str">
        <f t="shared" si="1"/>
        <v/>
      </c>
    </row>
    <row r="336">
      <c r="B336" s="12"/>
      <c r="J336" s="12"/>
      <c r="L336" s="21"/>
      <c r="N336" s="12"/>
      <c r="O336" s="12"/>
      <c r="P336" s="12" t="str">
        <f t="shared" si="1"/>
        <v/>
      </c>
    </row>
    <row r="337">
      <c r="B337" s="12"/>
      <c r="J337" s="12"/>
      <c r="L337" s="21"/>
      <c r="N337" s="12"/>
      <c r="O337" s="12"/>
      <c r="P337" s="12" t="str">
        <f t="shared" si="1"/>
        <v/>
      </c>
    </row>
    <row r="338">
      <c r="B338" s="12"/>
      <c r="J338" s="12"/>
      <c r="L338" s="21"/>
      <c r="N338" s="12"/>
      <c r="O338" s="12"/>
      <c r="P338" s="12" t="str">
        <f t="shared" si="1"/>
        <v/>
      </c>
    </row>
    <row r="339">
      <c r="B339" s="12"/>
      <c r="J339" s="12"/>
      <c r="L339" s="21"/>
      <c r="N339" s="12"/>
      <c r="O339" s="12"/>
      <c r="P339" s="12" t="str">
        <f t="shared" si="1"/>
        <v/>
      </c>
    </row>
    <row r="340">
      <c r="B340" s="12"/>
      <c r="J340" s="12"/>
      <c r="L340" s="21"/>
      <c r="N340" s="12"/>
      <c r="O340" s="12"/>
      <c r="P340" s="12" t="str">
        <f t="shared" si="1"/>
        <v/>
      </c>
    </row>
    <row r="341">
      <c r="B341" s="12"/>
      <c r="J341" s="12"/>
      <c r="L341" s="21"/>
      <c r="N341" s="12"/>
      <c r="O341" s="12"/>
      <c r="P341" s="12" t="str">
        <f t="shared" si="1"/>
        <v/>
      </c>
    </row>
    <row r="342">
      <c r="B342" s="12"/>
      <c r="J342" s="12"/>
      <c r="L342" s="21"/>
      <c r="N342" s="12"/>
      <c r="O342" s="12"/>
      <c r="P342" s="12" t="str">
        <f t="shared" si="1"/>
        <v/>
      </c>
    </row>
    <row r="343">
      <c r="B343" s="12"/>
      <c r="J343" s="12"/>
      <c r="L343" s="21"/>
      <c r="N343" s="12"/>
      <c r="O343" s="12"/>
      <c r="P343" s="12" t="str">
        <f t="shared" si="1"/>
        <v/>
      </c>
    </row>
    <row r="344">
      <c r="B344" s="12"/>
      <c r="J344" s="12"/>
      <c r="L344" s="21"/>
      <c r="N344" s="12"/>
      <c r="O344" s="12"/>
      <c r="P344" s="12" t="str">
        <f t="shared" si="1"/>
        <v/>
      </c>
    </row>
    <row r="345">
      <c r="B345" s="12"/>
      <c r="J345" s="12"/>
      <c r="L345" s="21"/>
      <c r="N345" s="12"/>
      <c r="O345" s="12"/>
      <c r="P345" s="12" t="str">
        <f t="shared" si="1"/>
        <v/>
      </c>
    </row>
    <row r="346">
      <c r="B346" s="12"/>
      <c r="J346" s="12"/>
      <c r="L346" s="21"/>
      <c r="N346" s="12"/>
      <c r="O346" s="12"/>
      <c r="P346" s="12" t="str">
        <f t="shared" si="1"/>
        <v/>
      </c>
    </row>
    <row r="347">
      <c r="B347" s="12"/>
      <c r="J347" s="12"/>
      <c r="L347" s="21"/>
      <c r="N347" s="12"/>
      <c r="O347" s="12"/>
      <c r="P347" s="12" t="str">
        <f t="shared" si="1"/>
        <v/>
      </c>
    </row>
    <row r="348">
      <c r="B348" s="12"/>
      <c r="J348" s="12"/>
      <c r="L348" s="21"/>
      <c r="N348" s="12"/>
      <c r="O348" s="12"/>
      <c r="P348" s="12" t="str">
        <f t="shared" si="1"/>
        <v/>
      </c>
    </row>
    <row r="349">
      <c r="B349" s="12"/>
      <c r="J349" s="12"/>
      <c r="L349" s="21"/>
      <c r="N349" s="12"/>
      <c r="O349" s="12"/>
      <c r="P349" s="12" t="str">
        <f t="shared" si="1"/>
        <v/>
      </c>
    </row>
    <row r="350">
      <c r="B350" s="12"/>
      <c r="J350" s="12"/>
      <c r="L350" s="21"/>
      <c r="N350" s="12"/>
      <c r="O350" s="12"/>
      <c r="P350" s="12" t="str">
        <f t="shared" si="1"/>
        <v/>
      </c>
    </row>
    <row r="351">
      <c r="B351" s="12"/>
      <c r="J351" s="12"/>
      <c r="L351" s="21"/>
      <c r="N351" s="12"/>
      <c r="O351" s="12"/>
      <c r="P351" s="12" t="str">
        <f t="shared" si="1"/>
        <v/>
      </c>
    </row>
    <row r="352">
      <c r="B352" s="12"/>
      <c r="J352" s="12"/>
      <c r="L352" s="21"/>
      <c r="N352" s="12"/>
      <c r="O352" s="12"/>
      <c r="P352" s="12" t="str">
        <f t="shared" si="1"/>
        <v/>
      </c>
    </row>
    <row r="353">
      <c r="B353" s="12"/>
      <c r="J353" s="12"/>
      <c r="L353" s="21"/>
      <c r="N353" s="12"/>
      <c r="O353" s="12"/>
      <c r="P353" s="12" t="str">
        <f t="shared" si="1"/>
        <v/>
      </c>
    </row>
    <row r="354">
      <c r="B354" s="12"/>
      <c r="J354" s="12"/>
      <c r="L354" s="21"/>
      <c r="N354" s="12"/>
      <c r="O354" s="12"/>
      <c r="P354" s="12" t="str">
        <f t="shared" si="1"/>
        <v/>
      </c>
    </row>
    <row r="355">
      <c r="B355" s="12"/>
      <c r="J355" s="12"/>
      <c r="L355" s="21"/>
      <c r="N355" s="12"/>
      <c r="O355" s="12"/>
      <c r="P355" s="12" t="str">
        <f t="shared" si="1"/>
        <v/>
      </c>
    </row>
    <row r="356">
      <c r="B356" s="12"/>
      <c r="J356" s="12"/>
      <c r="L356" s="21"/>
      <c r="N356" s="12"/>
      <c r="O356" s="12"/>
      <c r="P356" s="12" t="str">
        <f t="shared" si="1"/>
        <v/>
      </c>
    </row>
    <row r="357">
      <c r="B357" s="12"/>
      <c r="J357" s="12"/>
      <c r="L357" s="21"/>
      <c r="N357" s="12"/>
      <c r="O357" s="12"/>
      <c r="P357" s="12" t="str">
        <f t="shared" si="1"/>
        <v/>
      </c>
    </row>
    <row r="358">
      <c r="B358" s="12"/>
      <c r="J358" s="12"/>
      <c r="L358" s="21"/>
      <c r="N358" s="12"/>
      <c r="O358" s="12"/>
      <c r="P358" s="12" t="str">
        <f t="shared" si="1"/>
        <v/>
      </c>
    </row>
    <row r="359">
      <c r="B359" s="12"/>
      <c r="J359" s="12"/>
      <c r="L359" s="21"/>
      <c r="N359" s="12"/>
      <c r="O359" s="12"/>
      <c r="P359" s="12" t="str">
        <f t="shared" si="1"/>
        <v/>
      </c>
    </row>
    <row r="360">
      <c r="B360" s="12"/>
      <c r="J360" s="12"/>
      <c r="L360" s="21"/>
      <c r="N360" s="12"/>
      <c r="O360" s="12"/>
      <c r="P360" s="12" t="str">
        <f t="shared" si="1"/>
        <v/>
      </c>
    </row>
    <row r="361">
      <c r="B361" s="12"/>
      <c r="J361" s="12"/>
      <c r="L361" s="21"/>
      <c r="N361" s="12"/>
      <c r="O361" s="12"/>
      <c r="P361" s="12" t="str">
        <f t="shared" si="1"/>
        <v/>
      </c>
    </row>
    <row r="362">
      <c r="B362" s="12"/>
      <c r="J362" s="12"/>
      <c r="L362" s="21"/>
      <c r="N362" s="12"/>
      <c r="O362" s="12"/>
      <c r="P362" s="12" t="str">
        <f t="shared" si="1"/>
        <v/>
      </c>
    </row>
    <row r="363">
      <c r="B363" s="12"/>
      <c r="J363" s="12"/>
      <c r="L363" s="21"/>
      <c r="N363" s="12"/>
      <c r="O363" s="12"/>
      <c r="P363" s="12" t="str">
        <f t="shared" si="1"/>
        <v/>
      </c>
    </row>
    <row r="364">
      <c r="B364" s="12"/>
      <c r="J364" s="12"/>
      <c r="L364" s="21"/>
      <c r="N364" s="12"/>
      <c r="O364" s="12"/>
      <c r="P364" s="12" t="str">
        <f t="shared" si="1"/>
        <v/>
      </c>
    </row>
    <row r="365">
      <c r="B365" s="12"/>
      <c r="J365" s="12"/>
      <c r="L365" s="21"/>
      <c r="N365" s="12"/>
      <c r="O365" s="12"/>
      <c r="P365" s="12" t="str">
        <f t="shared" si="1"/>
        <v/>
      </c>
    </row>
    <row r="366">
      <c r="B366" s="12"/>
      <c r="J366" s="12"/>
      <c r="L366" s="21"/>
      <c r="N366" s="12"/>
      <c r="O366" s="12"/>
      <c r="P366" s="12" t="str">
        <f t="shared" si="1"/>
        <v/>
      </c>
    </row>
    <row r="367">
      <c r="B367" s="12"/>
      <c r="J367" s="12"/>
      <c r="L367" s="21"/>
      <c r="N367" s="12"/>
      <c r="O367" s="12"/>
      <c r="P367" s="12" t="str">
        <f t="shared" si="1"/>
        <v/>
      </c>
    </row>
    <row r="368">
      <c r="B368" s="12"/>
      <c r="J368" s="12"/>
      <c r="L368" s="21"/>
      <c r="N368" s="12"/>
      <c r="O368" s="12"/>
      <c r="P368" s="12" t="str">
        <f t="shared" si="1"/>
        <v/>
      </c>
    </row>
    <row r="369">
      <c r="B369" s="12"/>
      <c r="J369" s="12"/>
      <c r="L369" s="21"/>
      <c r="N369" s="12"/>
      <c r="O369" s="12"/>
      <c r="P369" s="12" t="str">
        <f t="shared" si="1"/>
        <v/>
      </c>
    </row>
    <row r="370">
      <c r="B370" s="12"/>
      <c r="J370" s="12"/>
      <c r="L370" s="21"/>
      <c r="N370" s="12"/>
      <c r="O370" s="12"/>
      <c r="P370" s="12" t="str">
        <f t="shared" si="1"/>
        <v/>
      </c>
    </row>
    <row r="371">
      <c r="B371" s="12"/>
      <c r="J371" s="12"/>
      <c r="L371" s="21"/>
      <c r="N371" s="12"/>
      <c r="O371" s="12"/>
      <c r="P371" s="12" t="str">
        <f t="shared" si="1"/>
        <v/>
      </c>
    </row>
    <row r="372">
      <c r="B372" s="12"/>
      <c r="J372" s="12"/>
      <c r="L372" s="21"/>
      <c r="N372" s="12"/>
      <c r="O372" s="12"/>
      <c r="P372" s="12" t="str">
        <f t="shared" si="1"/>
        <v/>
      </c>
    </row>
    <row r="373">
      <c r="B373" s="12"/>
      <c r="J373" s="12"/>
      <c r="L373" s="21"/>
      <c r="N373" s="12"/>
      <c r="O373" s="12"/>
      <c r="P373" s="12" t="str">
        <f t="shared" si="1"/>
        <v/>
      </c>
    </row>
    <row r="374">
      <c r="B374" s="12"/>
      <c r="J374" s="12"/>
      <c r="L374" s="21"/>
      <c r="N374" s="12"/>
      <c r="O374" s="12"/>
      <c r="P374" s="12" t="str">
        <f t="shared" si="1"/>
        <v/>
      </c>
    </row>
    <row r="375">
      <c r="B375" s="12"/>
      <c r="J375" s="12"/>
      <c r="L375" s="21"/>
      <c r="N375" s="12"/>
      <c r="O375" s="12"/>
      <c r="P375" s="12" t="str">
        <f t="shared" si="1"/>
        <v/>
      </c>
    </row>
    <row r="376">
      <c r="B376" s="12"/>
      <c r="J376" s="12"/>
      <c r="L376" s="21"/>
      <c r="N376" s="12"/>
      <c r="O376" s="12"/>
      <c r="P376" s="12" t="str">
        <f t="shared" si="1"/>
        <v/>
      </c>
    </row>
    <row r="377">
      <c r="B377" s="12"/>
      <c r="J377" s="12"/>
      <c r="L377" s="21"/>
      <c r="N377" s="12"/>
      <c r="O377" s="12"/>
      <c r="P377" s="12" t="str">
        <f t="shared" si="1"/>
        <v/>
      </c>
    </row>
    <row r="378">
      <c r="B378" s="12"/>
      <c r="J378" s="12"/>
      <c r="L378" s="21"/>
      <c r="N378" s="12"/>
      <c r="O378" s="12"/>
      <c r="P378" s="12" t="str">
        <f t="shared" si="1"/>
        <v/>
      </c>
    </row>
    <row r="379">
      <c r="B379" s="12"/>
      <c r="J379" s="12"/>
      <c r="L379" s="21"/>
      <c r="N379" s="12"/>
      <c r="O379" s="12"/>
      <c r="P379" s="12" t="str">
        <f t="shared" si="1"/>
        <v/>
      </c>
    </row>
    <row r="380">
      <c r="B380" s="12"/>
      <c r="J380" s="12"/>
      <c r="L380" s="21"/>
      <c r="N380" s="12"/>
      <c r="O380" s="12"/>
      <c r="P380" s="12" t="str">
        <f t="shared" si="1"/>
        <v/>
      </c>
    </row>
    <row r="381">
      <c r="B381" s="12"/>
      <c r="J381" s="12"/>
      <c r="L381" s="21"/>
      <c r="N381" s="12"/>
      <c r="O381" s="12"/>
      <c r="P381" s="12" t="str">
        <f t="shared" si="1"/>
        <v/>
      </c>
    </row>
    <row r="382">
      <c r="B382" s="12"/>
      <c r="J382" s="12"/>
      <c r="L382" s="21"/>
      <c r="N382" s="12"/>
      <c r="O382" s="12"/>
      <c r="P382" s="12" t="str">
        <f t="shared" si="1"/>
        <v/>
      </c>
    </row>
    <row r="383">
      <c r="B383" s="12"/>
      <c r="J383" s="12"/>
      <c r="L383" s="21"/>
      <c r="N383" s="12"/>
      <c r="O383" s="12"/>
      <c r="P383" s="12" t="str">
        <f t="shared" si="1"/>
        <v/>
      </c>
    </row>
    <row r="384">
      <c r="B384" s="12"/>
      <c r="J384" s="12"/>
      <c r="L384" s="21"/>
      <c r="N384" s="12"/>
      <c r="O384" s="12"/>
      <c r="P384" s="12" t="str">
        <f t="shared" si="1"/>
        <v/>
      </c>
    </row>
    <row r="385">
      <c r="B385" s="12"/>
      <c r="J385" s="12"/>
      <c r="L385" s="21"/>
      <c r="N385" s="12"/>
      <c r="O385" s="12"/>
      <c r="P385" s="12" t="str">
        <f t="shared" si="1"/>
        <v/>
      </c>
    </row>
    <row r="386">
      <c r="B386" s="12"/>
      <c r="J386" s="12"/>
      <c r="L386" s="21"/>
      <c r="N386" s="12"/>
      <c r="O386" s="12"/>
      <c r="P386" s="12" t="str">
        <f t="shared" si="1"/>
        <v/>
      </c>
    </row>
    <row r="387">
      <c r="B387" s="12"/>
      <c r="J387" s="12"/>
      <c r="L387" s="21"/>
      <c r="N387" s="12"/>
      <c r="O387" s="12"/>
      <c r="P387" s="12" t="str">
        <f t="shared" si="1"/>
        <v/>
      </c>
    </row>
    <row r="388">
      <c r="B388" s="12"/>
      <c r="J388" s="12"/>
      <c r="L388" s="21"/>
      <c r="N388" s="12"/>
      <c r="O388" s="12"/>
      <c r="P388" s="12" t="str">
        <f t="shared" si="1"/>
        <v/>
      </c>
    </row>
    <row r="389">
      <c r="B389" s="12"/>
      <c r="J389" s="12"/>
      <c r="L389" s="21"/>
      <c r="N389" s="12"/>
      <c r="O389" s="12"/>
      <c r="P389" s="12" t="str">
        <f t="shared" si="1"/>
        <v/>
      </c>
    </row>
    <row r="390">
      <c r="B390" s="12"/>
      <c r="J390" s="12"/>
      <c r="L390" s="21"/>
      <c r="N390" s="12"/>
      <c r="O390" s="12"/>
      <c r="P390" s="12" t="str">
        <f t="shared" si="1"/>
        <v/>
      </c>
    </row>
    <row r="391">
      <c r="B391" s="12"/>
      <c r="J391" s="12"/>
      <c r="L391" s="21"/>
      <c r="N391" s="12"/>
      <c r="O391" s="12"/>
      <c r="P391" s="12" t="str">
        <f t="shared" si="1"/>
        <v/>
      </c>
    </row>
    <row r="392">
      <c r="B392" s="12"/>
      <c r="J392" s="12"/>
      <c r="L392" s="21"/>
      <c r="N392" s="12"/>
      <c r="O392" s="12"/>
      <c r="P392" s="12" t="str">
        <f t="shared" si="1"/>
        <v/>
      </c>
    </row>
    <row r="393">
      <c r="B393" s="12"/>
      <c r="J393" s="12"/>
      <c r="L393" s="21"/>
      <c r="N393" s="12"/>
      <c r="O393" s="12"/>
      <c r="P393" s="12" t="str">
        <f t="shared" si="1"/>
        <v/>
      </c>
    </row>
    <row r="394">
      <c r="B394" s="12"/>
      <c r="J394" s="12"/>
      <c r="L394" s="21"/>
      <c r="N394" s="12"/>
      <c r="O394" s="12"/>
      <c r="P394" s="12" t="str">
        <f t="shared" si="1"/>
        <v/>
      </c>
    </row>
    <row r="395">
      <c r="B395" s="12"/>
      <c r="J395" s="12"/>
      <c r="L395" s="21"/>
      <c r="N395" s="12"/>
      <c r="O395" s="12"/>
      <c r="P395" s="12" t="str">
        <f t="shared" si="1"/>
        <v/>
      </c>
    </row>
    <row r="396">
      <c r="B396" s="12"/>
      <c r="J396" s="12"/>
      <c r="L396" s="21"/>
      <c r="N396" s="12"/>
      <c r="O396" s="12"/>
      <c r="P396" s="12" t="str">
        <f t="shared" si="1"/>
        <v/>
      </c>
    </row>
    <row r="397">
      <c r="B397" s="12"/>
      <c r="J397" s="12"/>
      <c r="L397" s="21"/>
      <c r="N397" s="12"/>
      <c r="O397" s="12"/>
      <c r="P397" s="12" t="str">
        <f t="shared" si="1"/>
        <v/>
      </c>
    </row>
    <row r="398">
      <c r="B398" s="12"/>
      <c r="J398" s="12"/>
      <c r="L398" s="21"/>
      <c r="N398" s="12"/>
      <c r="O398" s="12"/>
      <c r="P398" s="12" t="str">
        <f t="shared" si="1"/>
        <v/>
      </c>
    </row>
    <row r="399">
      <c r="B399" s="12"/>
      <c r="J399" s="12"/>
      <c r="L399" s="21"/>
      <c r="N399" s="12"/>
      <c r="O399" s="12"/>
      <c r="P399" s="12" t="str">
        <f t="shared" si="1"/>
        <v/>
      </c>
    </row>
    <row r="400">
      <c r="B400" s="12"/>
      <c r="J400" s="12"/>
      <c r="L400" s="21"/>
      <c r="N400" s="12"/>
      <c r="O400" s="12"/>
      <c r="P400" s="12" t="str">
        <f t="shared" si="1"/>
        <v/>
      </c>
    </row>
    <row r="401">
      <c r="B401" s="12"/>
      <c r="J401" s="12"/>
      <c r="L401" s="21"/>
      <c r="N401" s="12"/>
      <c r="O401" s="12"/>
      <c r="P401" s="12" t="str">
        <f t="shared" si="1"/>
        <v/>
      </c>
    </row>
    <row r="402">
      <c r="B402" s="12"/>
      <c r="J402" s="12"/>
      <c r="L402" s="21"/>
      <c r="N402" s="12"/>
      <c r="O402" s="12"/>
      <c r="P402" s="12" t="str">
        <f t="shared" si="1"/>
        <v/>
      </c>
    </row>
    <row r="403">
      <c r="B403" s="12"/>
      <c r="J403" s="12"/>
      <c r="L403" s="21"/>
      <c r="N403" s="12"/>
      <c r="O403" s="12"/>
      <c r="P403" s="12" t="str">
        <f t="shared" si="1"/>
        <v/>
      </c>
    </row>
    <row r="404">
      <c r="B404" s="12"/>
      <c r="J404" s="12"/>
      <c r="L404" s="21"/>
      <c r="N404" s="12"/>
      <c r="O404" s="12"/>
      <c r="P404" s="12" t="str">
        <f t="shared" si="1"/>
        <v/>
      </c>
    </row>
    <row r="405">
      <c r="B405" s="12"/>
      <c r="J405" s="12"/>
      <c r="L405" s="21"/>
      <c r="N405" s="12"/>
      <c r="O405" s="12"/>
      <c r="P405" s="12" t="str">
        <f t="shared" si="1"/>
        <v/>
      </c>
    </row>
    <row r="406">
      <c r="B406" s="12"/>
      <c r="J406" s="12"/>
      <c r="L406" s="21"/>
      <c r="N406" s="12"/>
      <c r="O406" s="12"/>
      <c r="P406" s="12" t="str">
        <f t="shared" si="1"/>
        <v/>
      </c>
    </row>
    <row r="407">
      <c r="B407" s="12"/>
      <c r="J407" s="12"/>
      <c r="L407" s="21"/>
      <c r="N407" s="12"/>
      <c r="O407" s="12"/>
      <c r="P407" s="12" t="str">
        <f t="shared" si="1"/>
        <v/>
      </c>
    </row>
    <row r="408">
      <c r="B408" s="12"/>
      <c r="J408" s="12"/>
      <c r="L408" s="21"/>
      <c r="N408" s="12"/>
      <c r="O408" s="12"/>
      <c r="P408" s="12" t="str">
        <f t="shared" si="1"/>
        <v/>
      </c>
    </row>
    <row r="409">
      <c r="B409" s="12"/>
      <c r="J409" s="12"/>
      <c r="L409" s="21"/>
      <c r="N409" s="12"/>
      <c r="O409" s="12"/>
      <c r="P409" s="12" t="str">
        <f t="shared" si="1"/>
        <v/>
      </c>
    </row>
    <row r="410">
      <c r="B410" s="12"/>
      <c r="J410" s="12"/>
      <c r="L410" s="21"/>
      <c r="N410" s="12"/>
      <c r="O410" s="12"/>
      <c r="P410" s="12" t="str">
        <f t="shared" si="1"/>
        <v/>
      </c>
    </row>
    <row r="411">
      <c r="B411" s="12"/>
      <c r="J411" s="12"/>
      <c r="L411" s="21"/>
      <c r="N411" s="12"/>
      <c r="O411" s="12"/>
      <c r="P411" s="12" t="str">
        <f t="shared" si="1"/>
        <v/>
      </c>
    </row>
    <row r="412">
      <c r="B412" s="12"/>
      <c r="J412" s="12"/>
      <c r="L412" s="21"/>
      <c r="N412" s="12"/>
      <c r="O412" s="12"/>
      <c r="P412" s="12" t="str">
        <f t="shared" si="1"/>
        <v/>
      </c>
    </row>
    <row r="413">
      <c r="B413" s="12"/>
      <c r="J413" s="12"/>
      <c r="L413" s="21"/>
      <c r="N413" s="12"/>
      <c r="O413" s="12"/>
      <c r="P413" s="12" t="str">
        <f t="shared" si="1"/>
        <v/>
      </c>
    </row>
    <row r="414">
      <c r="B414" s="12"/>
      <c r="J414" s="12"/>
      <c r="L414" s="21"/>
      <c r="N414" s="12"/>
      <c r="O414" s="12"/>
      <c r="P414" s="12" t="str">
        <f t="shared" si="1"/>
        <v/>
      </c>
    </row>
    <row r="415">
      <c r="B415" s="12"/>
      <c r="J415" s="12"/>
      <c r="L415" s="21"/>
      <c r="N415" s="12"/>
      <c r="O415" s="12"/>
      <c r="P415" s="12" t="str">
        <f t="shared" si="1"/>
        <v/>
      </c>
    </row>
    <row r="416">
      <c r="B416" s="12"/>
      <c r="J416" s="12"/>
      <c r="L416" s="21"/>
      <c r="N416" s="12"/>
      <c r="O416" s="12"/>
      <c r="P416" s="12" t="str">
        <f t="shared" si="1"/>
        <v/>
      </c>
    </row>
    <row r="417">
      <c r="B417" s="12"/>
      <c r="J417" s="12"/>
      <c r="L417" s="21"/>
      <c r="N417" s="12"/>
      <c r="O417" s="12"/>
      <c r="P417" s="12" t="str">
        <f t="shared" si="1"/>
        <v/>
      </c>
    </row>
    <row r="418">
      <c r="B418" s="12"/>
      <c r="J418" s="12"/>
      <c r="L418" s="21"/>
      <c r="N418" s="12"/>
      <c r="O418" s="12"/>
      <c r="P418" s="12" t="str">
        <f t="shared" si="1"/>
        <v/>
      </c>
    </row>
    <row r="419">
      <c r="B419" s="12"/>
      <c r="J419" s="12"/>
      <c r="L419" s="21"/>
      <c r="N419" s="12"/>
      <c r="O419" s="12"/>
      <c r="P419" s="12" t="str">
        <f t="shared" si="1"/>
        <v/>
      </c>
    </row>
    <row r="420">
      <c r="B420" s="12"/>
      <c r="J420" s="12"/>
      <c r="L420" s="21"/>
      <c r="N420" s="12"/>
      <c r="O420" s="12"/>
      <c r="P420" s="12" t="str">
        <f t="shared" si="1"/>
        <v/>
      </c>
    </row>
    <row r="421">
      <c r="B421" s="12"/>
      <c r="J421" s="12"/>
      <c r="L421" s="21"/>
      <c r="N421" s="12"/>
      <c r="O421" s="12"/>
      <c r="P421" s="12" t="str">
        <f t="shared" si="1"/>
        <v/>
      </c>
    </row>
    <row r="422">
      <c r="B422" s="12"/>
      <c r="J422" s="12"/>
      <c r="L422" s="21"/>
      <c r="N422" s="12"/>
      <c r="O422" s="12"/>
      <c r="P422" s="12" t="str">
        <f t="shared" si="1"/>
        <v/>
      </c>
    </row>
    <row r="423">
      <c r="B423" s="12"/>
      <c r="J423" s="12"/>
      <c r="L423" s="21"/>
      <c r="N423" s="12"/>
      <c r="O423" s="12"/>
      <c r="P423" s="12" t="str">
        <f t="shared" si="1"/>
        <v/>
      </c>
    </row>
    <row r="424">
      <c r="B424" s="12"/>
      <c r="J424" s="12"/>
      <c r="L424" s="21"/>
      <c r="N424" s="12"/>
      <c r="O424" s="12"/>
      <c r="P424" s="12" t="str">
        <f t="shared" si="1"/>
        <v/>
      </c>
    </row>
    <row r="425">
      <c r="B425" s="12"/>
      <c r="J425" s="12"/>
      <c r="L425" s="21"/>
      <c r="N425" s="12"/>
      <c r="O425" s="12"/>
      <c r="P425" s="12" t="str">
        <f t="shared" si="1"/>
        <v/>
      </c>
    </row>
    <row r="426">
      <c r="B426" s="12"/>
      <c r="J426" s="12"/>
      <c r="L426" s="21"/>
      <c r="N426" s="12"/>
      <c r="O426" s="12"/>
      <c r="P426" s="12" t="str">
        <f t="shared" si="1"/>
        <v/>
      </c>
    </row>
    <row r="427">
      <c r="B427" s="12"/>
      <c r="J427" s="12"/>
      <c r="L427" s="21"/>
      <c r="N427" s="12"/>
      <c r="O427" s="12"/>
      <c r="P427" s="12" t="str">
        <f t="shared" si="1"/>
        <v/>
      </c>
    </row>
    <row r="428">
      <c r="B428" s="12"/>
      <c r="J428" s="12"/>
      <c r="L428" s="21"/>
      <c r="N428" s="12"/>
      <c r="O428" s="12"/>
      <c r="P428" s="12" t="str">
        <f t="shared" si="1"/>
        <v/>
      </c>
    </row>
    <row r="429">
      <c r="B429" s="12"/>
      <c r="J429" s="12"/>
      <c r="L429" s="21"/>
      <c r="N429" s="12"/>
      <c r="O429" s="12"/>
      <c r="P429" s="12" t="str">
        <f t="shared" si="1"/>
        <v/>
      </c>
    </row>
    <row r="430">
      <c r="B430" s="12"/>
      <c r="J430" s="12"/>
      <c r="L430" s="21"/>
      <c r="N430" s="12"/>
      <c r="O430" s="12"/>
      <c r="P430" s="12" t="str">
        <f t="shared" si="1"/>
        <v/>
      </c>
    </row>
    <row r="431">
      <c r="B431" s="12"/>
      <c r="J431" s="12"/>
      <c r="L431" s="21"/>
      <c r="N431" s="12"/>
      <c r="O431" s="12"/>
      <c r="P431" s="12" t="str">
        <f t="shared" si="1"/>
        <v/>
      </c>
    </row>
    <row r="432">
      <c r="B432" s="12"/>
      <c r="J432" s="12"/>
      <c r="L432" s="21"/>
      <c r="N432" s="12"/>
      <c r="O432" s="12"/>
      <c r="P432" s="12" t="str">
        <f t="shared" si="1"/>
        <v/>
      </c>
    </row>
    <row r="433">
      <c r="B433" s="12"/>
      <c r="J433" s="12"/>
      <c r="L433" s="21"/>
      <c r="N433" s="12"/>
      <c r="O433" s="12"/>
      <c r="P433" s="12" t="str">
        <f t="shared" si="1"/>
        <v/>
      </c>
    </row>
    <row r="434">
      <c r="B434" s="12"/>
      <c r="J434" s="12"/>
      <c r="L434" s="21"/>
      <c r="N434" s="12"/>
      <c r="O434" s="12"/>
      <c r="P434" s="12" t="str">
        <f t="shared" si="1"/>
        <v/>
      </c>
    </row>
    <row r="435">
      <c r="B435" s="12"/>
      <c r="J435" s="12"/>
      <c r="L435" s="21"/>
      <c r="N435" s="12"/>
      <c r="O435" s="12"/>
      <c r="P435" s="12" t="str">
        <f t="shared" si="1"/>
        <v/>
      </c>
    </row>
    <row r="436">
      <c r="B436" s="12"/>
      <c r="J436" s="12"/>
      <c r="L436" s="21"/>
      <c r="N436" s="12"/>
      <c r="O436" s="12"/>
      <c r="P436" s="12" t="str">
        <f t="shared" si="1"/>
        <v/>
      </c>
    </row>
    <row r="437">
      <c r="B437" s="12"/>
      <c r="J437" s="12"/>
      <c r="L437" s="21"/>
      <c r="N437" s="12"/>
      <c r="O437" s="12"/>
      <c r="P437" s="12" t="str">
        <f t="shared" si="1"/>
        <v/>
      </c>
    </row>
    <row r="438">
      <c r="B438" s="12"/>
      <c r="J438" s="12"/>
      <c r="L438" s="21"/>
      <c r="N438" s="12"/>
      <c r="O438" s="12"/>
      <c r="P438" s="12" t="str">
        <f t="shared" si="1"/>
        <v/>
      </c>
    </row>
    <row r="439">
      <c r="B439" s="12"/>
      <c r="J439" s="12"/>
      <c r="L439" s="21"/>
      <c r="N439" s="12"/>
      <c r="O439" s="12"/>
      <c r="P439" s="12" t="str">
        <f t="shared" si="1"/>
        <v/>
      </c>
    </row>
    <row r="440">
      <c r="B440" s="12"/>
      <c r="J440" s="12"/>
      <c r="L440" s="21"/>
      <c r="N440" s="12"/>
      <c r="O440" s="12"/>
      <c r="P440" s="12" t="str">
        <f t="shared" si="1"/>
        <v/>
      </c>
    </row>
    <row r="441">
      <c r="B441" s="12"/>
      <c r="J441" s="12"/>
      <c r="L441" s="21"/>
      <c r="N441" s="12"/>
      <c r="O441" s="12"/>
      <c r="P441" s="12" t="str">
        <f t="shared" si="1"/>
        <v/>
      </c>
    </row>
    <row r="442">
      <c r="B442" s="12"/>
      <c r="J442" s="12"/>
      <c r="L442" s="21"/>
      <c r="N442" s="12"/>
      <c r="O442" s="12"/>
      <c r="P442" s="12" t="str">
        <f t="shared" si="1"/>
        <v/>
      </c>
    </row>
    <row r="443">
      <c r="B443" s="12"/>
      <c r="J443" s="12"/>
      <c r="L443" s="21"/>
      <c r="N443" s="12"/>
      <c r="O443" s="12"/>
      <c r="P443" s="12" t="str">
        <f t="shared" si="1"/>
        <v/>
      </c>
    </row>
    <row r="444">
      <c r="B444" s="12"/>
      <c r="J444" s="12"/>
      <c r="L444" s="21"/>
      <c r="N444" s="12"/>
      <c r="O444" s="12"/>
      <c r="P444" s="12" t="str">
        <f t="shared" si="1"/>
        <v/>
      </c>
    </row>
    <row r="445">
      <c r="B445" s="12"/>
      <c r="J445" s="12"/>
      <c r="L445" s="21"/>
      <c r="N445" s="12"/>
      <c r="O445" s="12"/>
      <c r="P445" s="12" t="str">
        <f t="shared" si="1"/>
        <v/>
      </c>
    </row>
    <row r="446">
      <c r="B446" s="12"/>
      <c r="J446" s="12"/>
      <c r="L446" s="21"/>
      <c r="N446" s="12"/>
      <c r="O446" s="12"/>
      <c r="P446" s="12" t="str">
        <f t="shared" si="1"/>
        <v/>
      </c>
    </row>
    <row r="447">
      <c r="B447" s="12"/>
      <c r="J447" s="12"/>
      <c r="L447" s="21"/>
      <c r="N447" s="12"/>
      <c r="O447" s="12"/>
      <c r="P447" s="12" t="str">
        <f t="shared" si="1"/>
        <v/>
      </c>
    </row>
    <row r="448">
      <c r="B448" s="12"/>
      <c r="J448" s="12"/>
      <c r="L448" s="21"/>
      <c r="N448" s="12"/>
      <c r="O448" s="12"/>
      <c r="P448" s="12" t="str">
        <f t="shared" si="1"/>
        <v/>
      </c>
    </row>
    <row r="449">
      <c r="B449" s="12"/>
      <c r="J449" s="12"/>
      <c r="L449" s="21"/>
      <c r="N449" s="12"/>
      <c r="O449" s="12"/>
      <c r="P449" s="12" t="str">
        <f t="shared" si="1"/>
        <v/>
      </c>
    </row>
    <row r="450">
      <c r="B450" s="12"/>
      <c r="J450" s="12"/>
      <c r="L450" s="21"/>
      <c r="N450" s="12"/>
      <c r="O450" s="12"/>
      <c r="P450" s="12" t="str">
        <f t="shared" si="1"/>
        <v/>
      </c>
    </row>
    <row r="451">
      <c r="B451" s="12"/>
      <c r="J451" s="12"/>
      <c r="L451" s="21"/>
      <c r="N451" s="12"/>
      <c r="O451" s="12"/>
      <c r="P451" s="12" t="str">
        <f t="shared" si="1"/>
        <v/>
      </c>
    </row>
    <row r="452">
      <c r="B452" s="12"/>
      <c r="J452" s="12"/>
      <c r="L452" s="21"/>
      <c r="N452" s="12"/>
      <c r="O452" s="12"/>
      <c r="P452" s="12" t="str">
        <f t="shared" si="1"/>
        <v/>
      </c>
    </row>
    <row r="453">
      <c r="B453" s="12"/>
      <c r="J453" s="12"/>
      <c r="L453" s="21"/>
      <c r="N453" s="12"/>
      <c r="O453" s="12"/>
      <c r="P453" s="12" t="str">
        <f t="shared" si="1"/>
        <v/>
      </c>
    </row>
    <row r="454">
      <c r="B454" s="12"/>
      <c r="J454" s="12"/>
      <c r="L454" s="21"/>
      <c r="N454" s="12"/>
      <c r="O454" s="12"/>
      <c r="P454" s="12" t="str">
        <f t="shared" si="1"/>
        <v/>
      </c>
    </row>
    <row r="455">
      <c r="B455" s="12"/>
      <c r="J455" s="12"/>
      <c r="L455" s="21"/>
      <c r="N455" s="12"/>
      <c r="O455" s="12"/>
      <c r="P455" s="12" t="str">
        <f t="shared" si="1"/>
        <v/>
      </c>
    </row>
    <row r="456">
      <c r="B456" s="12"/>
      <c r="J456" s="12"/>
      <c r="L456" s="21"/>
      <c r="N456" s="12"/>
      <c r="O456" s="12"/>
      <c r="P456" s="12" t="str">
        <f t="shared" si="1"/>
        <v/>
      </c>
    </row>
    <row r="457">
      <c r="B457" s="12"/>
      <c r="J457" s="12"/>
      <c r="L457" s="21"/>
      <c r="N457" s="12"/>
      <c r="O457" s="12"/>
      <c r="P457" s="12" t="str">
        <f t="shared" si="1"/>
        <v/>
      </c>
    </row>
    <row r="458">
      <c r="B458" s="12"/>
      <c r="J458" s="12"/>
      <c r="L458" s="21"/>
      <c r="N458" s="12"/>
      <c r="O458" s="12"/>
      <c r="P458" s="12" t="str">
        <f t="shared" si="1"/>
        <v/>
      </c>
    </row>
    <row r="459">
      <c r="B459" s="12"/>
      <c r="J459" s="12"/>
      <c r="L459" s="21"/>
      <c r="N459" s="12"/>
      <c r="O459" s="12"/>
      <c r="P459" s="12" t="str">
        <f t="shared" si="1"/>
        <v/>
      </c>
    </row>
    <row r="460">
      <c r="B460" s="12"/>
      <c r="J460" s="12"/>
      <c r="L460" s="21"/>
      <c r="N460" s="12"/>
      <c r="O460" s="12"/>
      <c r="P460" s="12" t="str">
        <f t="shared" si="1"/>
        <v/>
      </c>
    </row>
    <row r="461">
      <c r="B461" s="12"/>
      <c r="J461" s="12"/>
      <c r="L461" s="21"/>
      <c r="N461" s="12"/>
      <c r="O461" s="12"/>
      <c r="P461" s="12" t="str">
        <f t="shared" si="1"/>
        <v/>
      </c>
    </row>
    <row r="462">
      <c r="B462" s="12"/>
      <c r="J462" s="12"/>
      <c r="L462" s="21"/>
      <c r="N462" s="12"/>
      <c r="O462" s="12"/>
      <c r="P462" s="12" t="str">
        <f t="shared" si="1"/>
        <v/>
      </c>
    </row>
    <row r="463">
      <c r="B463" s="12"/>
      <c r="J463" s="12"/>
      <c r="L463" s="21"/>
      <c r="N463" s="12"/>
      <c r="O463" s="12"/>
      <c r="P463" s="12" t="str">
        <f t="shared" si="1"/>
        <v/>
      </c>
    </row>
    <row r="464">
      <c r="B464" s="12"/>
      <c r="J464" s="12"/>
      <c r="L464" s="21"/>
      <c r="N464" s="12"/>
      <c r="O464" s="12"/>
      <c r="P464" s="12" t="str">
        <f t="shared" si="1"/>
        <v/>
      </c>
    </row>
    <row r="465">
      <c r="B465" s="12"/>
      <c r="J465" s="12"/>
      <c r="L465" s="21"/>
      <c r="N465" s="12"/>
      <c r="O465" s="12"/>
      <c r="P465" s="12" t="str">
        <f t="shared" si="1"/>
        <v/>
      </c>
    </row>
    <row r="466">
      <c r="B466" s="12"/>
      <c r="J466" s="12"/>
      <c r="L466" s="21"/>
      <c r="N466" s="12"/>
      <c r="O466" s="12"/>
      <c r="P466" s="12" t="str">
        <f t="shared" si="1"/>
        <v/>
      </c>
    </row>
    <row r="467">
      <c r="B467" s="12"/>
      <c r="J467" s="12"/>
      <c r="L467" s="21"/>
      <c r="N467" s="12"/>
      <c r="O467" s="12"/>
      <c r="P467" s="12" t="str">
        <f t="shared" si="1"/>
        <v/>
      </c>
    </row>
    <row r="468">
      <c r="B468" s="12"/>
      <c r="J468" s="12"/>
      <c r="L468" s="21"/>
      <c r="N468" s="12"/>
      <c r="O468" s="12"/>
      <c r="P468" s="12" t="str">
        <f t="shared" si="1"/>
        <v/>
      </c>
    </row>
    <row r="469">
      <c r="B469" s="12"/>
      <c r="J469" s="12"/>
      <c r="L469" s="21"/>
      <c r="N469" s="12"/>
      <c r="O469" s="12"/>
      <c r="P469" s="12" t="str">
        <f t="shared" si="1"/>
        <v/>
      </c>
    </row>
    <row r="470">
      <c r="B470" s="12"/>
      <c r="J470" s="12"/>
      <c r="L470" s="21"/>
      <c r="N470" s="12"/>
      <c r="O470" s="12"/>
      <c r="P470" s="12" t="str">
        <f t="shared" si="1"/>
        <v/>
      </c>
    </row>
    <row r="471">
      <c r="B471" s="12"/>
      <c r="J471" s="12"/>
      <c r="L471" s="21"/>
      <c r="N471" s="12"/>
      <c r="O471" s="12"/>
      <c r="P471" s="12" t="str">
        <f t="shared" si="1"/>
        <v/>
      </c>
    </row>
    <row r="472">
      <c r="B472" s="12"/>
      <c r="J472" s="12"/>
      <c r="L472" s="21"/>
      <c r="N472" s="12"/>
      <c r="O472" s="12"/>
      <c r="P472" s="12" t="str">
        <f t="shared" si="1"/>
        <v/>
      </c>
    </row>
    <row r="473">
      <c r="B473" s="12"/>
      <c r="J473" s="12"/>
      <c r="L473" s="21"/>
      <c r="N473" s="12"/>
      <c r="O473" s="12"/>
      <c r="P473" s="12" t="str">
        <f t="shared" si="1"/>
        <v/>
      </c>
    </row>
    <row r="474">
      <c r="B474" s="12"/>
      <c r="J474" s="12"/>
      <c r="L474" s="21"/>
      <c r="N474" s="12"/>
      <c r="O474" s="12"/>
      <c r="P474" s="12" t="str">
        <f t="shared" si="1"/>
        <v/>
      </c>
    </row>
    <row r="475">
      <c r="B475" s="12"/>
      <c r="J475" s="12"/>
      <c r="L475" s="21"/>
      <c r="N475" s="12"/>
      <c r="O475" s="12"/>
      <c r="P475" s="12" t="str">
        <f t="shared" si="1"/>
        <v/>
      </c>
    </row>
    <row r="476">
      <c r="B476" s="12"/>
      <c r="J476" s="12"/>
      <c r="L476" s="21"/>
      <c r="N476" s="12"/>
      <c r="O476" s="12"/>
      <c r="P476" s="12" t="str">
        <f t="shared" si="1"/>
        <v/>
      </c>
    </row>
    <row r="477">
      <c r="B477" s="12"/>
      <c r="J477" s="12"/>
      <c r="L477" s="21"/>
      <c r="N477" s="12"/>
      <c r="O477" s="12"/>
      <c r="P477" s="12" t="str">
        <f t="shared" si="1"/>
        <v/>
      </c>
    </row>
    <row r="478">
      <c r="B478" s="12"/>
      <c r="J478" s="12"/>
      <c r="L478" s="21"/>
      <c r="N478" s="12"/>
      <c r="O478" s="12"/>
      <c r="P478" s="12" t="str">
        <f t="shared" si="1"/>
        <v/>
      </c>
    </row>
    <row r="479">
      <c r="B479" s="12"/>
      <c r="J479" s="12"/>
      <c r="L479" s="21"/>
      <c r="N479" s="12"/>
      <c r="O479" s="12"/>
      <c r="P479" s="12" t="str">
        <f t="shared" si="1"/>
        <v/>
      </c>
    </row>
    <row r="480">
      <c r="B480" s="12"/>
      <c r="J480" s="12"/>
      <c r="L480" s="21"/>
      <c r="N480" s="12"/>
      <c r="O480" s="12"/>
      <c r="P480" s="12" t="str">
        <f t="shared" si="1"/>
        <v/>
      </c>
    </row>
    <row r="481">
      <c r="B481" s="12"/>
      <c r="J481" s="12"/>
      <c r="L481" s="21"/>
      <c r="N481" s="12"/>
      <c r="O481" s="12"/>
      <c r="P481" s="12" t="str">
        <f t="shared" si="1"/>
        <v/>
      </c>
    </row>
    <row r="482">
      <c r="B482" s="12"/>
      <c r="J482" s="12"/>
      <c r="L482" s="21"/>
      <c r="N482" s="12"/>
      <c r="O482" s="12"/>
      <c r="P482" s="12" t="str">
        <f t="shared" si="1"/>
        <v/>
      </c>
    </row>
    <row r="483">
      <c r="B483" s="12"/>
      <c r="J483" s="12"/>
      <c r="L483" s="21"/>
      <c r="N483" s="12"/>
      <c r="O483" s="12"/>
      <c r="P483" s="12" t="str">
        <f t="shared" si="1"/>
        <v/>
      </c>
    </row>
    <row r="484">
      <c r="B484" s="12"/>
      <c r="J484" s="12"/>
      <c r="L484" s="21"/>
      <c r="N484" s="12"/>
      <c r="O484" s="12"/>
      <c r="P484" s="12" t="str">
        <f t="shared" si="1"/>
        <v/>
      </c>
    </row>
    <row r="485">
      <c r="B485" s="12"/>
      <c r="J485" s="12"/>
      <c r="L485" s="21"/>
      <c r="N485" s="12"/>
      <c r="O485" s="12"/>
      <c r="P485" s="12" t="str">
        <f t="shared" si="1"/>
        <v/>
      </c>
    </row>
    <row r="486">
      <c r="B486" s="12"/>
      <c r="J486" s="12"/>
      <c r="L486" s="21"/>
      <c r="N486" s="12"/>
      <c r="O486" s="12"/>
      <c r="P486" s="12" t="str">
        <f t="shared" si="1"/>
        <v/>
      </c>
    </row>
    <row r="487">
      <c r="B487" s="12"/>
      <c r="J487" s="12"/>
      <c r="L487" s="21"/>
      <c r="N487" s="12"/>
      <c r="O487" s="12"/>
      <c r="P487" s="12" t="str">
        <f t="shared" si="1"/>
        <v/>
      </c>
    </row>
    <row r="488">
      <c r="B488" s="12"/>
      <c r="J488" s="12"/>
      <c r="L488" s="21"/>
      <c r="N488" s="12"/>
      <c r="O488" s="12"/>
      <c r="P488" s="12" t="str">
        <f t="shared" si="1"/>
        <v/>
      </c>
    </row>
    <row r="489">
      <c r="B489" s="12"/>
      <c r="J489" s="12"/>
      <c r="L489" s="21"/>
      <c r="N489" s="12"/>
      <c r="O489" s="12"/>
      <c r="P489" s="12" t="str">
        <f t="shared" si="1"/>
        <v/>
      </c>
    </row>
    <row r="490">
      <c r="B490" s="12"/>
      <c r="J490" s="12"/>
      <c r="L490" s="21"/>
      <c r="N490" s="12"/>
      <c r="O490" s="12"/>
      <c r="P490" s="12" t="str">
        <f t="shared" si="1"/>
        <v/>
      </c>
    </row>
    <row r="491">
      <c r="B491" s="12"/>
      <c r="J491" s="12"/>
      <c r="L491" s="21"/>
      <c r="N491" s="12"/>
      <c r="O491" s="12"/>
      <c r="P491" s="12" t="str">
        <f t="shared" si="1"/>
        <v/>
      </c>
    </row>
    <row r="492">
      <c r="B492" s="12"/>
      <c r="J492" s="12"/>
      <c r="L492" s="21"/>
      <c r="N492" s="12"/>
      <c r="O492" s="12"/>
      <c r="P492" s="12" t="str">
        <f t="shared" si="1"/>
        <v/>
      </c>
    </row>
    <row r="493">
      <c r="B493" s="12"/>
      <c r="J493" s="12"/>
      <c r="L493" s="21"/>
      <c r="N493" s="12"/>
      <c r="O493" s="12"/>
      <c r="P493" s="12" t="str">
        <f t="shared" si="1"/>
        <v/>
      </c>
    </row>
    <row r="494">
      <c r="B494" s="12"/>
      <c r="J494" s="12"/>
      <c r="L494" s="21"/>
      <c r="N494" s="12"/>
      <c r="O494" s="12"/>
      <c r="P494" s="12" t="str">
        <f t="shared" si="1"/>
        <v/>
      </c>
    </row>
    <row r="495">
      <c r="B495" s="12"/>
      <c r="J495" s="12"/>
      <c r="L495" s="21"/>
      <c r="N495" s="12"/>
      <c r="O495" s="12"/>
      <c r="P495" s="12" t="str">
        <f t="shared" si="1"/>
        <v/>
      </c>
    </row>
    <row r="496">
      <c r="B496" s="12"/>
      <c r="J496" s="12"/>
      <c r="L496" s="21"/>
      <c r="N496" s="12"/>
      <c r="O496" s="12"/>
      <c r="P496" s="12" t="str">
        <f t="shared" si="1"/>
        <v/>
      </c>
    </row>
    <row r="497">
      <c r="B497" s="12"/>
      <c r="J497" s="12"/>
      <c r="L497" s="21"/>
      <c r="N497" s="12"/>
      <c r="O497" s="12"/>
      <c r="P497" s="12" t="str">
        <f t="shared" si="1"/>
        <v/>
      </c>
    </row>
    <row r="498">
      <c r="B498" s="12"/>
      <c r="J498" s="12"/>
      <c r="L498" s="21"/>
      <c r="N498" s="12"/>
      <c r="O498" s="12"/>
      <c r="P498" s="12" t="str">
        <f t="shared" si="1"/>
        <v/>
      </c>
    </row>
    <row r="499">
      <c r="B499" s="12"/>
      <c r="J499" s="12"/>
      <c r="L499" s="21"/>
      <c r="N499" s="12"/>
      <c r="O499" s="12"/>
      <c r="P499" s="12" t="str">
        <f t="shared" si="1"/>
        <v/>
      </c>
    </row>
    <row r="500">
      <c r="B500" s="12"/>
      <c r="J500" s="12"/>
      <c r="L500" s="21"/>
      <c r="N500" s="12"/>
      <c r="O500" s="12"/>
      <c r="P500" s="12" t="str">
        <f t="shared" si="1"/>
        <v/>
      </c>
    </row>
    <row r="501">
      <c r="B501" s="12"/>
      <c r="J501" s="12"/>
      <c r="L501" s="21"/>
      <c r="N501" s="12"/>
      <c r="O501" s="12"/>
      <c r="P501" s="12" t="str">
        <f t="shared" si="1"/>
        <v/>
      </c>
    </row>
    <row r="502">
      <c r="B502" s="12"/>
      <c r="J502" s="12"/>
      <c r="L502" s="21"/>
      <c r="N502" s="12"/>
      <c r="O502" s="12"/>
      <c r="P502" s="12" t="str">
        <f t="shared" si="1"/>
        <v/>
      </c>
    </row>
    <row r="503">
      <c r="B503" s="12"/>
      <c r="J503" s="12"/>
      <c r="L503" s="21"/>
      <c r="N503" s="12"/>
      <c r="O503" s="12"/>
      <c r="P503" s="12" t="str">
        <f t="shared" si="1"/>
        <v/>
      </c>
    </row>
    <row r="504">
      <c r="B504" s="12"/>
      <c r="J504" s="12"/>
      <c r="L504" s="21"/>
      <c r="N504" s="12"/>
      <c r="O504" s="12"/>
      <c r="P504" s="12" t="str">
        <f t="shared" si="1"/>
        <v/>
      </c>
    </row>
    <row r="505">
      <c r="B505" s="12"/>
      <c r="J505" s="12"/>
      <c r="L505" s="21"/>
      <c r="N505" s="12"/>
      <c r="O505" s="12"/>
      <c r="P505" s="12" t="str">
        <f t="shared" si="1"/>
        <v/>
      </c>
    </row>
    <row r="506">
      <c r="B506" s="12"/>
      <c r="J506" s="12"/>
      <c r="L506" s="21"/>
      <c r="N506" s="12"/>
      <c r="O506" s="12"/>
      <c r="P506" s="12" t="str">
        <f t="shared" si="1"/>
        <v/>
      </c>
    </row>
    <row r="507">
      <c r="B507" s="12"/>
      <c r="J507" s="12"/>
      <c r="L507" s="21"/>
      <c r="N507" s="12"/>
      <c r="O507" s="12"/>
      <c r="P507" s="12" t="str">
        <f t="shared" si="1"/>
        <v/>
      </c>
    </row>
    <row r="508">
      <c r="B508" s="12"/>
      <c r="J508" s="12"/>
      <c r="L508" s="21"/>
      <c r="N508" s="12"/>
      <c r="O508" s="12"/>
      <c r="P508" s="12" t="str">
        <f t="shared" si="1"/>
        <v/>
      </c>
    </row>
    <row r="509">
      <c r="B509" s="12"/>
      <c r="J509" s="12"/>
      <c r="L509" s="21"/>
      <c r="N509" s="12"/>
      <c r="O509" s="12"/>
      <c r="P509" s="12" t="str">
        <f t="shared" si="1"/>
        <v/>
      </c>
    </row>
    <row r="510">
      <c r="B510" s="12"/>
      <c r="J510" s="12"/>
      <c r="L510" s="21"/>
      <c r="N510" s="12"/>
      <c r="O510" s="12"/>
      <c r="P510" s="12" t="str">
        <f t="shared" si="1"/>
        <v/>
      </c>
    </row>
    <row r="511">
      <c r="B511" s="12"/>
      <c r="J511" s="12"/>
      <c r="L511" s="21"/>
      <c r="N511" s="12"/>
      <c r="O511" s="12"/>
      <c r="P511" s="12" t="str">
        <f t="shared" si="1"/>
        <v/>
      </c>
    </row>
    <row r="512">
      <c r="B512" s="12"/>
      <c r="J512" s="12"/>
      <c r="L512" s="21"/>
      <c r="N512" s="12"/>
      <c r="O512" s="12"/>
      <c r="P512" s="12" t="str">
        <f t="shared" si="1"/>
        <v/>
      </c>
    </row>
    <row r="513">
      <c r="B513" s="12"/>
      <c r="J513" s="12"/>
      <c r="L513" s="21"/>
      <c r="N513" s="12"/>
      <c r="O513" s="12"/>
      <c r="P513" s="12" t="str">
        <f t="shared" si="1"/>
        <v/>
      </c>
    </row>
    <row r="514">
      <c r="B514" s="12"/>
      <c r="J514" s="12"/>
      <c r="L514" s="21"/>
      <c r="N514" s="12"/>
      <c r="O514" s="12"/>
      <c r="P514" s="12" t="str">
        <f t="shared" si="1"/>
        <v/>
      </c>
    </row>
    <row r="515">
      <c r="B515" s="12"/>
      <c r="J515" s="12"/>
      <c r="L515" s="21"/>
      <c r="N515" s="12"/>
      <c r="O515" s="12"/>
      <c r="P515" s="12" t="str">
        <f t="shared" si="1"/>
        <v/>
      </c>
    </row>
    <row r="516">
      <c r="B516" s="12"/>
      <c r="J516" s="12"/>
      <c r="L516" s="21"/>
      <c r="N516" s="12"/>
      <c r="O516" s="12"/>
      <c r="P516" s="12" t="str">
        <f t="shared" si="1"/>
        <v/>
      </c>
    </row>
    <row r="517">
      <c r="B517" s="12"/>
      <c r="J517" s="12"/>
      <c r="L517" s="21"/>
      <c r="N517" s="12"/>
      <c r="O517" s="12"/>
      <c r="P517" s="12" t="str">
        <f t="shared" si="1"/>
        <v/>
      </c>
    </row>
    <row r="518">
      <c r="B518" s="12"/>
      <c r="J518" s="12"/>
      <c r="L518" s="21"/>
      <c r="N518" s="12"/>
      <c r="O518" s="12"/>
      <c r="P518" s="12" t="str">
        <f t="shared" si="1"/>
        <v/>
      </c>
    </row>
    <row r="519">
      <c r="B519" s="12"/>
      <c r="J519" s="12"/>
      <c r="L519" s="21"/>
      <c r="N519" s="12"/>
      <c r="O519" s="12"/>
      <c r="P519" s="12" t="str">
        <f t="shared" si="1"/>
        <v/>
      </c>
    </row>
    <row r="520">
      <c r="B520" s="12"/>
      <c r="J520" s="12"/>
      <c r="L520" s="21"/>
      <c r="N520" s="12"/>
      <c r="O520" s="12"/>
      <c r="P520" s="12" t="str">
        <f t="shared" si="1"/>
        <v/>
      </c>
    </row>
    <row r="521">
      <c r="B521" s="12"/>
      <c r="J521" s="12"/>
      <c r="L521" s="21"/>
      <c r="N521" s="12"/>
      <c r="O521" s="12"/>
      <c r="P521" s="12" t="str">
        <f t="shared" si="1"/>
        <v/>
      </c>
    </row>
    <row r="522">
      <c r="B522" s="12"/>
      <c r="J522" s="12"/>
      <c r="L522" s="21"/>
      <c r="N522" s="12"/>
      <c r="O522" s="12"/>
      <c r="P522" s="12" t="str">
        <f t="shared" si="1"/>
        <v/>
      </c>
    </row>
    <row r="523">
      <c r="B523" s="12"/>
      <c r="J523" s="12"/>
      <c r="L523" s="21"/>
      <c r="N523" s="12"/>
      <c r="O523" s="12"/>
      <c r="P523" s="12" t="str">
        <f t="shared" si="1"/>
        <v/>
      </c>
    </row>
    <row r="524">
      <c r="B524" s="12"/>
      <c r="J524" s="12"/>
      <c r="L524" s="21"/>
      <c r="N524" s="12"/>
      <c r="O524" s="12"/>
      <c r="P524" s="12" t="str">
        <f t="shared" si="1"/>
        <v/>
      </c>
    </row>
    <row r="525">
      <c r="B525" s="12"/>
      <c r="J525" s="12"/>
      <c r="L525" s="21"/>
      <c r="N525" s="12"/>
      <c r="O525" s="12"/>
      <c r="P525" s="12" t="str">
        <f t="shared" si="1"/>
        <v/>
      </c>
    </row>
    <row r="526">
      <c r="B526" s="12"/>
      <c r="J526" s="12"/>
      <c r="L526" s="21"/>
      <c r="N526" s="12"/>
      <c r="O526" s="12"/>
      <c r="P526" s="12" t="str">
        <f t="shared" si="1"/>
        <v/>
      </c>
    </row>
    <row r="527">
      <c r="B527" s="12"/>
      <c r="J527" s="12"/>
      <c r="L527" s="21"/>
      <c r="N527" s="12"/>
      <c r="O527" s="12"/>
      <c r="P527" s="12" t="str">
        <f t="shared" si="1"/>
        <v/>
      </c>
    </row>
    <row r="528">
      <c r="B528" s="12"/>
      <c r="J528" s="12"/>
      <c r="L528" s="21"/>
      <c r="N528" s="12"/>
      <c r="O528" s="12"/>
      <c r="P528" s="12" t="str">
        <f t="shared" si="1"/>
        <v/>
      </c>
    </row>
    <row r="529">
      <c r="B529" s="12"/>
      <c r="J529" s="12"/>
      <c r="L529" s="21"/>
      <c r="N529" s="12"/>
      <c r="O529" s="12"/>
      <c r="P529" s="12" t="str">
        <f t="shared" si="1"/>
        <v/>
      </c>
    </row>
    <row r="530">
      <c r="B530" s="12"/>
      <c r="J530" s="12"/>
      <c r="L530" s="21"/>
      <c r="N530" s="12"/>
      <c r="O530" s="12"/>
      <c r="P530" s="12" t="str">
        <f t="shared" si="1"/>
        <v/>
      </c>
    </row>
    <row r="531">
      <c r="B531" s="12"/>
      <c r="J531" s="12"/>
      <c r="L531" s="21"/>
      <c r="N531" s="12"/>
      <c r="O531" s="12"/>
      <c r="P531" s="12" t="str">
        <f t="shared" si="1"/>
        <v/>
      </c>
    </row>
    <row r="532">
      <c r="B532" s="12"/>
      <c r="J532" s="12"/>
      <c r="L532" s="21"/>
      <c r="N532" s="12"/>
      <c r="O532" s="12"/>
      <c r="P532" s="12" t="str">
        <f t="shared" si="1"/>
        <v/>
      </c>
    </row>
    <row r="533">
      <c r="B533" s="12"/>
      <c r="J533" s="12"/>
      <c r="L533" s="21"/>
      <c r="N533" s="12"/>
      <c r="O533" s="12"/>
      <c r="P533" s="12" t="str">
        <f t="shared" si="1"/>
        <v/>
      </c>
    </row>
    <row r="534">
      <c r="B534" s="12"/>
      <c r="J534" s="12"/>
      <c r="L534" s="21"/>
      <c r="N534" s="12"/>
      <c r="O534" s="12"/>
      <c r="P534" s="12" t="str">
        <f t="shared" si="1"/>
        <v/>
      </c>
    </row>
    <row r="535">
      <c r="B535" s="12"/>
      <c r="J535" s="12"/>
      <c r="L535" s="21"/>
      <c r="N535" s="12"/>
      <c r="O535" s="12"/>
      <c r="P535" s="12" t="str">
        <f t="shared" si="1"/>
        <v/>
      </c>
    </row>
    <row r="536">
      <c r="B536" s="12"/>
      <c r="J536" s="12"/>
      <c r="L536" s="21"/>
      <c r="N536" s="12"/>
      <c r="O536" s="12"/>
      <c r="P536" s="12" t="str">
        <f t="shared" si="1"/>
        <v/>
      </c>
    </row>
    <row r="537">
      <c r="B537" s="12"/>
      <c r="J537" s="12"/>
      <c r="L537" s="21"/>
      <c r="N537" s="12"/>
      <c r="O537" s="12"/>
      <c r="P537" s="12" t="str">
        <f t="shared" si="1"/>
        <v/>
      </c>
    </row>
    <row r="538">
      <c r="B538" s="12"/>
      <c r="J538" s="12"/>
      <c r="L538" s="21"/>
      <c r="N538" s="12"/>
      <c r="O538" s="12"/>
      <c r="P538" s="12" t="str">
        <f t="shared" si="1"/>
        <v/>
      </c>
    </row>
    <row r="539">
      <c r="B539" s="12"/>
      <c r="J539" s="12"/>
      <c r="L539" s="21"/>
      <c r="N539" s="12"/>
      <c r="O539" s="12"/>
      <c r="P539" s="12" t="str">
        <f t="shared" si="1"/>
        <v/>
      </c>
    </row>
    <row r="540">
      <c r="B540" s="12"/>
      <c r="J540" s="12"/>
      <c r="L540" s="21"/>
      <c r="N540" s="12"/>
      <c r="O540" s="12"/>
      <c r="P540" s="12" t="str">
        <f t="shared" si="1"/>
        <v/>
      </c>
    </row>
    <row r="541">
      <c r="B541" s="12"/>
      <c r="J541" s="12"/>
      <c r="L541" s="21"/>
      <c r="N541" s="12"/>
      <c r="O541" s="12"/>
      <c r="P541" s="12" t="str">
        <f t="shared" si="1"/>
        <v/>
      </c>
    </row>
    <row r="542">
      <c r="B542" s="12"/>
      <c r="J542" s="12"/>
      <c r="L542" s="21"/>
      <c r="N542" s="12"/>
      <c r="O542" s="12"/>
      <c r="P542" s="12" t="str">
        <f t="shared" si="1"/>
        <v/>
      </c>
    </row>
    <row r="543">
      <c r="B543" s="12"/>
      <c r="J543" s="12"/>
      <c r="L543" s="21"/>
      <c r="N543" s="12"/>
      <c r="O543" s="12"/>
      <c r="P543" s="12" t="str">
        <f t="shared" si="1"/>
        <v/>
      </c>
    </row>
    <row r="544">
      <c r="B544" s="12"/>
      <c r="J544" s="12"/>
      <c r="L544" s="21"/>
      <c r="N544" s="12"/>
      <c r="O544" s="12"/>
      <c r="P544" s="12" t="str">
        <f t="shared" si="1"/>
        <v/>
      </c>
    </row>
    <row r="545">
      <c r="B545" s="12"/>
      <c r="J545" s="12"/>
      <c r="L545" s="21"/>
      <c r="N545" s="12"/>
      <c r="O545" s="12"/>
      <c r="P545" s="12" t="str">
        <f t="shared" si="1"/>
        <v/>
      </c>
    </row>
    <row r="546">
      <c r="B546" s="12"/>
      <c r="J546" s="12"/>
      <c r="L546" s="21"/>
      <c r="N546" s="12"/>
      <c r="O546" s="12"/>
      <c r="P546" s="12" t="str">
        <f t="shared" si="1"/>
        <v/>
      </c>
    </row>
    <row r="547">
      <c r="B547" s="12"/>
      <c r="J547" s="12"/>
      <c r="L547" s="21"/>
      <c r="N547" s="12"/>
      <c r="O547" s="12"/>
      <c r="P547" s="12" t="str">
        <f t="shared" si="1"/>
        <v/>
      </c>
    </row>
    <row r="548">
      <c r="B548" s="12"/>
      <c r="J548" s="12"/>
      <c r="L548" s="21"/>
      <c r="N548" s="12"/>
      <c r="O548" s="12"/>
      <c r="P548" s="12" t="str">
        <f t="shared" si="1"/>
        <v/>
      </c>
    </row>
    <row r="549">
      <c r="B549" s="12"/>
      <c r="J549" s="12"/>
      <c r="L549" s="21"/>
      <c r="N549" s="12"/>
      <c r="O549" s="12"/>
      <c r="P549" s="12" t="str">
        <f t="shared" si="1"/>
        <v/>
      </c>
    </row>
    <row r="550">
      <c r="B550" s="12"/>
      <c r="J550" s="12"/>
      <c r="L550" s="21"/>
      <c r="N550" s="12"/>
      <c r="O550" s="12"/>
      <c r="P550" s="12" t="str">
        <f t="shared" si="1"/>
        <v/>
      </c>
    </row>
    <row r="551">
      <c r="B551" s="12"/>
      <c r="J551" s="12"/>
      <c r="L551" s="21"/>
      <c r="N551" s="12"/>
      <c r="O551" s="12"/>
      <c r="P551" s="12" t="str">
        <f t="shared" si="1"/>
        <v/>
      </c>
    </row>
    <row r="552">
      <c r="B552" s="12"/>
      <c r="J552" s="12"/>
      <c r="L552" s="21"/>
      <c r="N552" s="12"/>
      <c r="O552" s="12"/>
      <c r="P552" s="12" t="str">
        <f t="shared" si="1"/>
        <v/>
      </c>
    </row>
    <row r="553">
      <c r="B553" s="12"/>
      <c r="J553" s="12"/>
      <c r="L553" s="21"/>
      <c r="N553" s="12"/>
      <c r="O553" s="12"/>
      <c r="P553" s="12" t="str">
        <f t="shared" si="1"/>
        <v/>
      </c>
    </row>
    <row r="554">
      <c r="B554" s="12"/>
      <c r="J554" s="12"/>
      <c r="L554" s="21"/>
      <c r="N554" s="12"/>
      <c r="O554" s="12"/>
      <c r="P554" s="12" t="str">
        <f t="shared" si="1"/>
        <v/>
      </c>
    </row>
    <row r="555">
      <c r="B555" s="12"/>
      <c r="J555" s="12"/>
      <c r="L555" s="21"/>
      <c r="N555" s="12"/>
      <c r="O555" s="12"/>
      <c r="P555" s="12" t="str">
        <f t="shared" si="1"/>
        <v/>
      </c>
    </row>
    <row r="556">
      <c r="B556" s="12"/>
      <c r="J556" s="12"/>
      <c r="L556" s="21"/>
      <c r="N556" s="12"/>
      <c r="O556" s="12"/>
      <c r="P556" s="12" t="str">
        <f t="shared" si="1"/>
        <v/>
      </c>
    </row>
    <row r="557">
      <c r="B557" s="12"/>
      <c r="J557" s="12"/>
      <c r="L557" s="21"/>
      <c r="N557" s="12"/>
      <c r="O557" s="12"/>
      <c r="P557" s="12" t="str">
        <f t="shared" si="1"/>
        <v/>
      </c>
    </row>
    <row r="558">
      <c r="B558" s="12"/>
      <c r="J558" s="12"/>
      <c r="L558" s="21"/>
      <c r="N558" s="12"/>
      <c r="O558" s="12"/>
      <c r="P558" s="12" t="str">
        <f t="shared" si="1"/>
        <v/>
      </c>
    </row>
    <row r="559">
      <c r="B559" s="12"/>
      <c r="J559" s="12"/>
      <c r="L559" s="21"/>
      <c r="N559" s="12"/>
      <c r="O559" s="12"/>
      <c r="P559" s="12" t="str">
        <f t="shared" si="1"/>
        <v/>
      </c>
    </row>
    <row r="560">
      <c r="B560" s="12"/>
      <c r="J560" s="12"/>
      <c r="L560" s="21"/>
      <c r="N560" s="12"/>
      <c r="O560" s="12"/>
      <c r="P560" s="12" t="str">
        <f t="shared" si="1"/>
        <v/>
      </c>
    </row>
    <row r="561">
      <c r="B561" s="12"/>
      <c r="J561" s="12"/>
      <c r="L561" s="21"/>
      <c r="N561" s="12"/>
      <c r="O561" s="12"/>
      <c r="P561" s="12" t="str">
        <f t="shared" si="1"/>
        <v/>
      </c>
    </row>
    <row r="562">
      <c r="B562" s="12"/>
      <c r="J562" s="12"/>
      <c r="L562" s="21"/>
      <c r="N562" s="12"/>
      <c r="O562" s="12"/>
      <c r="P562" s="12" t="str">
        <f t="shared" si="1"/>
        <v/>
      </c>
    </row>
    <row r="563">
      <c r="B563" s="12"/>
      <c r="J563" s="12"/>
      <c r="L563" s="21"/>
      <c r="N563" s="12"/>
      <c r="O563" s="12"/>
      <c r="P563" s="12" t="str">
        <f t="shared" si="1"/>
        <v/>
      </c>
    </row>
    <row r="564">
      <c r="B564" s="12"/>
      <c r="J564" s="12"/>
      <c r="L564" s="21"/>
      <c r="N564" s="12"/>
      <c r="O564" s="12"/>
      <c r="P564" s="12" t="str">
        <f t="shared" si="1"/>
        <v/>
      </c>
    </row>
    <row r="565">
      <c r="B565" s="12"/>
      <c r="J565" s="12"/>
      <c r="L565" s="21"/>
      <c r="N565" s="12"/>
      <c r="O565" s="12"/>
      <c r="P565" s="12" t="str">
        <f t="shared" si="1"/>
        <v/>
      </c>
    </row>
    <row r="566">
      <c r="B566" s="12"/>
      <c r="J566" s="12"/>
      <c r="L566" s="21"/>
      <c r="N566" s="12"/>
      <c r="O566" s="12"/>
      <c r="P566" s="12" t="str">
        <f t="shared" si="1"/>
        <v/>
      </c>
    </row>
    <row r="567">
      <c r="B567" s="12"/>
      <c r="J567" s="12"/>
      <c r="L567" s="21"/>
      <c r="N567" s="12"/>
      <c r="O567" s="12"/>
      <c r="P567" s="12" t="str">
        <f t="shared" si="1"/>
        <v/>
      </c>
    </row>
    <row r="568">
      <c r="B568" s="12"/>
      <c r="J568" s="12"/>
      <c r="L568" s="21"/>
      <c r="N568" s="12"/>
      <c r="O568" s="12"/>
      <c r="P568" s="12" t="str">
        <f t="shared" si="1"/>
        <v/>
      </c>
    </row>
    <row r="569">
      <c r="B569" s="12"/>
      <c r="J569" s="12"/>
      <c r="L569" s="21"/>
      <c r="N569" s="12"/>
      <c r="O569" s="12"/>
      <c r="P569" s="12" t="str">
        <f t="shared" si="1"/>
        <v/>
      </c>
    </row>
    <row r="570">
      <c r="B570" s="12"/>
      <c r="J570" s="12"/>
      <c r="L570" s="21"/>
      <c r="N570" s="12"/>
      <c r="O570" s="12"/>
      <c r="P570" s="12" t="str">
        <f t="shared" si="1"/>
        <v/>
      </c>
    </row>
    <row r="571">
      <c r="B571" s="12"/>
      <c r="J571" s="12"/>
      <c r="L571" s="21"/>
      <c r="N571" s="12"/>
      <c r="O571" s="12"/>
      <c r="P571" s="12" t="str">
        <f t="shared" si="1"/>
        <v/>
      </c>
    </row>
    <row r="572">
      <c r="B572" s="12"/>
      <c r="J572" s="12"/>
      <c r="L572" s="21"/>
      <c r="N572" s="12"/>
      <c r="O572" s="12"/>
      <c r="P572" s="12" t="str">
        <f t="shared" si="1"/>
        <v/>
      </c>
    </row>
    <row r="573">
      <c r="B573" s="12"/>
      <c r="J573" s="12"/>
      <c r="L573" s="21"/>
      <c r="N573" s="12"/>
      <c r="O573" s="12"/>
      <c r="P573" s="12" t="str">
        <f t="shared" si="1"/>
        <v/>
      </c>
    </row>
    <row r="574">
      <c r="B574" s="12"/>
      <c r="J574" s="12"/>
      <c r="L574" s="21"/>
      <c r="N574" s="12"/>
      <c r="O574" s="12"/>
      <c r="P574" s="12" t="str">
        <f t="shared" si="1"/>
        <v/>
      </c>
    </row>
    <row r="575">
      <c r="B575" s="12"/>
      <c r="J575" s="12"/>
      <c r="L575" s="21"/>
      <c r="N575" s="12"/>
      <c r="O575" s="12"/>
      <c r="P575" s="12" t="str">
        <f t="shared" si="1"/>
        <v/>
      </c>
    </row>
    <row r="576">
      <c r="B576" s="12"/>
      <c r="J576" s="12"/>
      <c r="L576" s="21"/>
      <c r="N576" s="12"/>
      <c r="O576" s="12"/>
      <c r="P576" s="12" t="str">
        <f t="shared" si="1"/>
        <v/>
      </c>
    </row>
    <row r="577">
      <c r="B577" s="12"/>
      <c r="J577" s="12"/>
      <c r="L577" s="21"/>
      <c r="N577" s="12"/>
      <c r="O577" s="12"/>
      <c r="P577" s="12" t="str">
        <f t="shared" si="1"/>
        <v/>
      </c>
    </row>
    <row r="578">
      <c r="B578" s="12"/>
      <c r="J578" s="12"/>
      <c r="L578" s="21"/>
      <c r="N578" s="12"/>
      <c r="O578" s="12"/>
      <c r="P578" s="12" t="str">
        <f t="shared" si="1"/>
        <v/>
      </c>
    </row>
    <row r="579">
      <c r="B579" s="12"/>
      <c r="J579" s="12"/>
      <c r="L579" s="21"/>
      <c r="N579" s="12"/>
      <c r="O579" s="12"/>
      <c r="P579" s="12" t="str">
        <f t="shared" si="1"/>
        <v/>
      </c>
    </row>
    <row r="580">
      <c r="B580" s="12"/>
      <c r="J580" s="12"/>
      <c r="L580" s="21"/>
      <c r="N580" s="12"/>
      <c r="O580" s="12"/>
      <c r="P580" s="12" t="str">
        <f t="shared" si="1"/>
        <v/>
      </c>
    </row>
    <row r="581">
      <c r="B581" s="12"/>
      <c r="J581" s="12"/>
      <c r="L581" s="21"/>
      <c r="N581" s="12"/>
      <c r="O581" s="12"/>
      <c r="P581" s="12" t="str">
        <f t="shared" si="1"/>
        <v/>
      </c>
    </row>
    <row r="582">
      <c r="B582" s="12"/>
      <c r="J582" s="12"/>
      <c r="L582" s="21"/>
      <c r="N582" s="12"/>
      <c r="O582" s="12"/>
      <c r="P582" s="12" t="str">
        <f t="shared" si="1"/>
        <v/>
      </c>
    </row>
    <row r="583">
      <c r="B583" s="12"/>
      <c r="J583" s="12"/>
      <c r="L583" s="21"/>
      <c r="N583" s="12"/>
      <c r="O583" s="12"/>
      <c r="P583" s="12" t="str">
        <f t="shared" si="1"/>
        <v/>
      </c>
    </row>
    <row r="584">
      <c r="B584" s="12"/>
      <c r="J584" s="12"/>
      <c r="L584" s="21"/>
      <c r="N584" s="12"/>
      <c r="O584" s="12"/>
      <c r="P584" s="12" t="str">
        <f t="shared" si="1"/>
        <v/>
      </c>
    </row>
    <row r="585">
      <c r="B585" s="12"/>
      <c r="J585" s="12"/>
      <c r="L585" s="21"/>
      <c r="N585" s="12"/>
      <c r="O585" s="12"/>
      <c r="P585" s="12" t="str">
        <f t="shared" si="1"/>
        <v/>
      </c>
    </row>
    <row r="586">
      <c r="B586" s="12"/>
      <c r="J586" s="12"/>
      <c r="L586" s="21"/>
      <c r="N586" s="12"/>
      <c r="O586" s="12"/>
      <c r="P586" s="12" t="str">
        <f t="shared" si="1"/>
        <v/>
      </c>
    </row>
    <row r="587">
      <c r="B587" s="12"/>
      <c r="J587" s="12"/>
      <c r="L587" s="21"/>
      <c r="N587" s="12"/>
      <c r="O587" s="12"/>
      <c r="P587" s="12" t="str">
        <f t="shared" si="1"/>
        <v/>
      </c>
    </row>
    <row r="588">
      <c r="B588" s="12"/>
      <c r="J588" s="12"/>
      <c r="L588" s="21"/>
      <c r="N588" s="12"/>
      <c r="O588" s="12"/>
      <c r="P588" s="12" t="str">
        <f t="shared" si="1"/>
        <v/>
      </c>
    </row>
    <row r="589">
      <c r="B589" s="12"/>
      <c r="J589" s="12"/>
      <c r="L589" s="21"/>
      <c r="N589" s="12"/>
      <c r="O589" s="12"/>
      <c r="P589" s="12" t="str">
        <f t="shared" si="1"/>
        <v/>
      </c>
    </row>
    <row r="590">
      <c r="B590" s="12"/>
      <c r="J590" s="12"/>
      <c r="L590" s="21"/>
      <c r="N590" s="12"/>
      <c r="O590" s="12"/>
      <c r="P590" s="12" t="str">
        <f t="shared" si="1"/>
        <v/>
      </c>
    </row>
    <row r="591">
      <c r="B591" s="12"/>
      <c r="J591" s="12"/>
      <c r="L591" s="21"/>
      <c r="N591" s="12"/>
      <c r="O591" s="12"/>
      <c r="P591" s="12" t="str">
        <f t="shared" si="1"/>
        <v/>
      </c>
    </row>
    <row r="592">
      <c r="B592" s="12"/>
      <c r="J592" s="12"/>
      <c r="L592" s="21"/>
      <c r="N592" s="12"/>
      <c r="O592" s="12"/>
      <c r="P592" s="12" t="str">
        <f t="shared" si="1"/>
        <v/>
      </c>
    </row>
    <row r="593">
      <c r="B593" s="12"/>
      <c r="J593" s="12"/>
      <c r="L593" s="21"/>
      <c r="N593" s="12"/>
      <c r="O593" s="12"/>
      <c r="P593" s="12" t="str">
        <f t="shared" si="1"/>
        <v/>
      </c>
    </row>
    <row r="594">
      <c r="B594" s="12"/>
      <c r="J594" s="12"/>
      <c r="L594" s="21"/>
      <c r="N594" s="12"/>
      <c r="O594" s="12"/>
      <c r="P594" s="12" t="str">
        <f t="shared" si="1"/>
        <v/>
      </c>
    </row>
    <row r="595">
      <c r="B595" s="12"/>
      <c r="J595" s="12"/>
      <c r="L595" s="21"/>
      <c r="N595" s="12"/>
      <c r="O595" s="12"/>
      <c r="P595" s="12" t="str">
        <f t="shared" si="1"/>
        <v/>
      </c>
    </row>
    <row r="596">
      <c r="B596" s="12"/>
      <c r="J596" s="12"/>
      <c r="L596" s="21"/>
      <c r="N596" s="12"/>
      <c r="O596" s="12"/>
      <c r="P596" s="12" t="str">
        <f t="shared" si="1"/>
        <v/>
      </c>
    </row>
    <row r="597">
      <c r="B597" s="12"/>
      <c r="J597" s="12"/>
      <c r="L597" s="21"/>
      <c r="N597" s="12"/>
      <c r="O597" s="12"/>
      <c r="P597" s="12" t="str">
        <f t="shared" si="1"/>
        <v/>
      </c>
    </row>
    <row r="598">
      <c r="B598" s="12"/>
      <c r="J598" s="12"/>
      <c r="L598" s="21"/>
      <c r="N598" s="12"/>
      <c r="O598" s="12"/>
      <c r="P598" s="12" t="str">
        <f t="shared" si="1"/>
        <v/>
      </c>
    </row>
    <row r="599">
      <c r="B599" s="12"/>
      <c r="J599" s="12"/>
      <c r="L599" s="21"/>
      <c r="N599" s="12"/>
      <c r="O599" s="12"/>
      <c r="P599" s="12" t="str">
        <f t="shared" si="1"/>
        <v/>
      </c>
    </row>
    <row r="600">
      <c r="B600" s="12"/>
      <c r="J600" s="12"/>
      <c r="L600" s="21"/>
      <c r="N600" s="12"/>
      <c r="O600" s="12"/>
      <c r="P600" s="12" t="str">
        <f t="shared" si="1"/>
        <v/>
      </c>
    </row>
    <row r="601">
      <c r="B601" s="12"/>
      <c r="J601" s="12"/>
      <c r="L601" s="21"/>
      <c r="N601" s="12"/>
      <c r="O601" s="12"/>
      <c r="P601" s="12" t="str">
        <f t="shared" si="1"/>
        <v/>
      </c>
    </row>
    <row r="602">
      <c r="B602" s="12"/>
      <c r="J602" s="12"/>
      <c r="L602" s="21"/>
      <c r="N602" s="12"/>
      <c r="O602" s="12"/>
      <c r="P602" s="12" t="str">
        <f t="shared" si="1"/>
        <v/>
      </c>
    </row>
    <row r="603">
      <c r="B603" s="12"/>
      <c r="J603" s="12"/>
      <c r="L603" s="21"/>
      <c r="N603" s="12"/>
      <c r="O603" s="12"/>
      <c r="P603" s="12" t="str">
        <f t="shared" si="1"/>
        <v/>
      </c>
    </row>
    <row r="604">
      <c r="B604" s="12"/>
      <c r="J604" s="12"/>
      <c r="L604" s="21"/>
      <c r="N604" s="12"/>
      <c r="O604" s="12"/>
      <c r="P604" s="12" t="str">
        <f t="shared" si="1"/>
        <v/>
      </c>
    </row>
    <row r="605">
      <c r="B605" s="12"/>
      <c r="J605" s="12"/>
      <c r="L605" s="21"/>
      <c r="N605" s="12"/>
      <c r="O605" s="12"/>
      <c r="P605" s="12" t="str">
        <f t="shared" si="1"/>
        <v/>
      </c>
    </row>
    <row r="606">
      <c r="B606" s="12"/>
      <c r="J606" s="12"/>
      <c r="L606" s="21"/>
      <c r="N606" s="12"/>
      <c r="O606" s="12"/>
      <c r="P606" s="12" t="str">
        <f t="shared" si="1"/>
        <v/>
      </c>
    </row>
    <row r="607">
      <c r="B607" s="12"/>
      <c r="J607" s="12"/>
      <c r="L607" s="21"/>
      <c r="N607" s="12"/>
      <c r="O607" s="12"/>
      <c r="P607" s="12" t="str">
        <f t="shared" si="1"/>
        <v/>
      </c>
    </row>
    <row r="608">
      <c r="B608" s="12"/>
      <c r="J608" s="12"/>
      <c r="L608" s="21"/>
      <c r="N608" s="12"/>
      <c r="O608" s="12"/>
      <c r="P608" s="12" t="str">
        <f t="shared" si="1"/>
        <v/>
      </c>
    </row>
    <row r="609">
      <c r="B609" s="12"/>
      <c r="J609" s="12"/>
      <c r="L609" s="21"/>
      <c r="N609" s="12"/>
      <c r="O609" s="12"/>
      <c r="P609" s="12" t="str">
        <f t="shared" si="1"/>
        <v/>
      </c>
    </row>
    <row r="610">
      <c r="B610" s="12"/>
      <c r="J610" s="12"/>
      <c r="L610" s="21"/>
      <c r="N610" s="12"/>
      <c r="O610" s="12"/>
      <c r="P610" s="12" t="str">
        <f t="shared" si="1"/>
        <v/>
      </c>
    </row>
    <row r="611">
      <c r="B611" s="12"/>
      <c r="J611" s="12"/>
      <c r="L611" s="21"/>
      <c r="N611" s="12"/>
      <c r="O611" s="12"/>
      <c r="P611" s="12" t="str">
        <f t="shared" si="1"/>
        <v/>
      </c>
    </row>
    <row r="612">
      <c r="B612" s="12"/>
      <c r="J612" s="12"/>
      <c r="L612" s="21"/>
      <c r="N612" s="12"/>
      <c r="O612" s="12"/>
      <c r="P612" s="12" t="str">
        <f t="shared" si="1"/>
        <v/>
      </c>
    </row>
    <row r="613">
      <c r="B613" s="12"/>
      <c r="J613" s="12"/>
      <c r="L613" s="21"/>
      <c r="N613" s="12"/>
      <c r="O613" s="12"/>
      <c r="P613" s="12" t="str">
        <f t="shared" si="1"/>
        <v/>
      </c>
    </row>
    <row r="614">
      <c r="B614" s="12"/>
      <c r="J614" s="12"/>
      <c r="L614" s="21"/>
      <c r="N614" s="12"/>
      <c r="O614" s="12"/>
      <c r="P614" s="12" t="str">
        <f t="shared" si="1"/>
        <v/>
      </c>
    </row>
    <row r="615">
      <c r="B615" s="12"/>
      <c r="J615" s="12"/>
      <c r="L615" s="21"/>
      <c r="N615" s="12"/>
      <c r="O615" s="12"/>
      <c r="P615" s="12" t="str">
        <f t="shared" si="1"/>
        <v/>
      </c>
    </row>
    <row r="616">
      <c r="B616" s="12"/>
      <c r="J616" s="12"/>
      <c r="L616" s="21"/>
      <c r="N616" s="12"/>
      <c r="O616" s="12"/>
      <c r="P616" s="12" t="str">
        <f t="shared" si="1"/>
        <v/>
      </c>
    </row>
    <row r="617">
      <c r="B617" s="12"/>
      <c r="J617" s="12"/>
      <c r="L617" s="21"/>
      <c r="N617" s="12"/>
      <c r="O617" s="12"/>
      <c r="P617" s="12" t="str">
        <f t="shared" si="1"/>
        <v/>
      </c>
    </row>
    <row r="618">
      <c r="B618" s="12"/>
      <c r="J618" s="12"/>
      <c r="L618" s="21"/>
      <c r="N618" s="12"/>
      <c r="O618" s="12"/>
      <c r="P618" s="12" t="str">
        <f t="shared" si="1"/>
        <v/>
      </c>
    </row>
    <row r="619">
      <c r="B619" s="12"/>
      <c r="J619" s="12"/>
      <c r="L619" s="21"/>
      <c r="N619" s="12"/>
      <c r="O619" s="12"/>
      <c r="P619" s="12" t="str">
        <f t="shared" si="1"/>
        <v/>
      </c>
    </row>
    <row r="620">
      <c r="B620" s="12"/>
      <c r="J620" s="12"/>
      <c r="L620" s="21"/>
      <c r="N620" s="12"/>
      <c r="O620" s="12"/>
      <c r="P620" s="12" t="str">
        <f t="shared" si="1"/>
        <v/>
      </c>
    </row>
    <row r="621">
      <c r="B621" s="12"/>
      <c r="J621" s="12"/>
      <c r="L621" s="21"/>
      <c r="N621" s="12"/>
      <c r="O621" s="12"/>
      <c r="P621" s="12" t="str">
        <f t="shared" si="1"/>
        <v/>
      </c>
    </row>
    <row r="622">
      <c r="B622" s="12"/>
      <c r="J622" s="12"/>
      <c r="L622" s="21"/>
      <c r="N622" s="12"/>
      <c r="O622" s="12"/>
      <c r="P622" s="12" t="str">
        <f t="shared" si="1"/>
        <v/>
      </c>
    </row>
    <row r="623">
      <c r="B623" s="12"/>
      <c r="J623" s="12"/>
      <c r="L623" s="21"/>
      <c r="N623" s="12"/>
      <c r="O623" s="12"/>
      <c r="P623" s="12" t="str">
        <f t="shared" si="1"/>
        <v/>
      </c>
    </row>
    <row r="624">
      <c r="B624" s="12"/>
      <c r="J624" s="12"/>
      <c r="L624" s="21"/>
      <c r="N624" s="12"/>
      <c r="O624" s="12"/>
      <c r="P624" s="12" t="str">
        <f t="shared" si="1"/>
        <v/>
      </c>
    </row>
    <row r="625">
      <c r="B625" s="12"/>
      <c r="J625" s="12"/>
      <c r="L625" s="21"/>
      <c r="N625" s="12"/>
      <c r="O625" s="12"/>
      <c r="P625" s="12" t="str">
        <f t="shared" si="1"/>
        <v/>
      </c>
    </row>
    <row r="626">
      <c r="B626" s="12"/>
      <c r="J626" s="12"/>
      <c r="L626" s="21"/>
      <c r="N626" s="12"/>
      <c r="O626" s="12"/>
      <c r="P626" s="12" t="str">
        <f t="shared" si="1"/>
        <v/>
      </c>
    </row>
    <row r="627">
      <c r="B627" s="12"/>
      <c r="J627" s="12"/>
      <c r="L627" s="21"/>
      <c r="N627" s="12"/>
      <c r="O627" s="12"/>
      <c r="P627" s="12" t="str">
        <f t="shared" si="1"/>
        <v/>
      </c>
    </row>
    <row r="628">
      <c r="B628" s="12"/>
      <c r="J628" s="12"/>
      <c r="L628" s="21"/>
      <c r="N628" s="12"/>
      <c r="O628" s="12"/>
      <c r="P628" s="12" t="str">
        <f t="shared" si="1"/>
        <v/>
      </c>
    </row>
    <row r="629">
      <c r="B629" s="12"/>
      <c r="J629" s="12"/>
      <c r="L629" s="21"/>
      <c r="N629" s="12"/>
      <c r="O629" s="12"/>
      <c r="P629" s="12" t="str">
        <f t="shared" si="1"/>
        <v/>
      </c>
    </row>
    <row r="630">
      <c r="B630" s="12"/>
      <c r="J630" s="12"/>
      <c r="L630" s="21"/>
      <c r="N630" s="12"/>
      <c r="O630" s="12"/>
      <c r="P630" s="12" t="str">
        <f t="shared" si="1"/>
        <v/>
      </c>
    </row>
    <row r="631">
      <c r="B631" s="12"/>
      <c r="J631" s="12"/>
      <c r="L631" s="21"/>
      <c r="N631" s="12"/>
      <c r="O631" s="12"/>
      <c r="P631" s="12" t="str">
        <f t="shared" si="1"/>
        <v/>
      </c>
    </row>
    <row r="632">
      <c r="B632" s="12"/>
      <c r="J632" s="12"/>
      <c r="L632" s="21"/>
      <c r="N632" s="12"/>
      <c r="O632" s="12"/>
      <c r="P632" s="12" t="str">
        <f t="shared" si="1"/>
        <v/>
      </c>
    </row>
    <row r="633">
      <c r="B633" s="12"/>
      <c r="J633" s="12"/>
      <c r="L633" s="21"/>
      <c r="N633" s="12"/>
      <c r="O633" s="12"/>
      <c r="P633" s="12" t="str">
        <f t="shared" si="1"/>
        <v/>
      </c>
    </row>
    <row r="634">
      <c r="B634" s="12"/>
      <c r="J634" s="12"/>
      <c r="L634" s="21"/>
      <c r="N634" s="12"/>
      <c r="O634" s="12"/>
      <c r="P634" s="12" t="str">
        <f t="shared" si="1"/>
        <v/>
      </c>
    </row>
    <row r="635">
      <c r="B635" s="12"/>
      <c r="J635" s="12"/>
      <c r="L635" s="21"/>
      <c r="N635" s="12"/>
      <c r="O635" s="12"/>
      <c r="P635" s="12" t="str">
        <f t="shared" si="1"/>
        <v/>
      </c>
    </row>
    <row r="636">
      <c r="B636" s="12"/>
      <c r="J636" s="12"/>
      <c r="L636" s="21"/>
      <c r="N636" s="12"/>
      <c r="O636" s="12"/>
      <c r="P636" s="12" t="str">
        <f t="shared" si="1"/>
        <v/>
      </c>
    </row>
    <row r="637">
      <c r="B637" s="12"/>
      <c r="J637" s="12"/>
      <c r="L637" s="21"/>
      <c r="N637" s="12"/>
      <c r="O637" s="12"/>
      <c r="P637" s="12" t="str">
        <f t="shared" si="1"/>
        <v/>
      </c>
    </row>
    <row r="638">
      <c r="B638" s="12"/>
      <c r="J638" s="12"/>
      <c r="L638" s="21"/>
      <c r="N638" s="12"/>
      <c r="O638" s="12"/>
      <c r="P638" s="12" t="str">
        <f t="shared" si="1"/>
        <v/>
      </c>
    </row>
    <row r="639">
      <c r="B639" s="12"/>
      <c r="J639" s="12"/>
      <c r="L639" s="21"/>
      <c r="N639" s="12"/>
      <c r="O639" s="12"/>
      <c r="P639" s="12" t="str">
        <f t="shared" si="1"/>
        <v/>
      </c>
    </row>
    <row r="640">
      <c r="B640" s="12"/>
      <c r="J640" s="12"/>
      <c r="L640" s="21"/>
      <c r="N640" s="12"/>
      <c r="O640" s="12"/>
      <c r="P640" s="12" t="str">
        <f t="shared" si="1"/>
        <v/>
      </c>
    </row>
    <row r="641">
      <c r="B641" s="12"/>
      <c r="J641" s="12"/>
      <c r="L641" s="21"/>
      <c r="N641" s="12"/>
      <c r="O641" s="12"/>
      <c r="P641" s="12" t="str">
        <f t="shared" si="1"/>
        <v/>
      </c>
    </row>
    <row r="642">
      <c r="B642" s="12"/>
      <c r="J642" s="12"/>
      <c r="L642" s="21"/>
      <c r="N642" s="12"/>
      <c r="O642" s="12"/>
      <c r="P642" s="12" t="str">
        <f t="shared" si="1"/>
        <v/>
      </c>
    </row>
    <row r="643">
      <c r="B643" s="12"/>
      <c r="J643" s="12"/>
      <c r="L643" s="21"/>
      <c r="N643" s="12"/>
      <c r="O643" s="12"/>
      <c r="P643" s="12" t="str">
        <f t="shared" si="1"/>
        <v/>
      </c>
    </row>
    <row r="644">
      <c r="B644" s="12"/>
      <c r="J644" s="12"/>
      <c r="L644" s="21"/>
      <c r="N644" s="12"/>
      <c r="O644" s="12"/>
      <c r="P644" s="12" t="str">
        <f t="shared" si="1"/>
        <v/>
      </c>
    </row>
    <row r="645">
      <c r="B645" s="12"/>
      <c r="J645" s="12"/>
      <c r="L645" s="21"/>
      <c r="N645" s="12"/>
      <c r="O645" s="12"/>
      <c r="P645" s="12" t="str">
        <f t="shared" si="1"/>
        <v/>
      </c>
    </row>
    <row r="646">
      <c r="B646" s="12"/>
      <c r="J646" s="12"/>
      <c r="L646" s="21"/>
      <c r="N646" s="12"/>
      <c r="O646" s="12"/>
      <c r="P646" s="12" t="str">
        <f t="shared" si="1"/>
        <v/>
      </c>
    </row>
    <row r="647">
      <c r="B647" s="12"/>
      <c r="J647" s="12"/>
      <c r="L647" s="21"/>
      <c r="N647" s="12"/>
      <c r="O647" s="12"/>
      <c r="P647" s="12" t="str">
        <f t="shared" si="1"/>
        <v/>
      </c>
    </row>
    <row r="648">
      <c r="B648" s="12"/>
      <c r="J648" s="12"/>
      <c r="L648" s="21"/>
      <c r="N648" s="12"/>
      <c r="O648" s="12"/>
      <c r="P648" s="12" t="str">
        <f t="shared" si="1"/>
        <v/>
      </c>
    </row>
    <row r="649">
      <c r="B649" s="12"/>
      <c r="J649" s="12"/>
      <c r="L649" s="21"/>
      <c r="N649" s="12"/>
      <c r="O649" s="12"/>
      <c r="P649" s="12" t="str">
        <f t="shared" si="1"/>
        <v/>
      </c>
    </row>
    <row r="650">
      <c r="B650" s="12"/>
      <c r="J650" s="12"/>
      <c r="L650" s="21"/>
      <c r="N650" s="12"/>
      <c r="O650" s="12"/>
      <c r="P650" s="12" t="str">
        <f t="shared" si="1"/>
        <v/>
      </c>
    </row>
    <row r="651">
      <c r="B651" s="12"/>
      <c r="J651" s="12"/>
      <c r="L651" s="21"/>
      <c r="N651" s="12"/>
      <c r="O651" s="12"/>
      <c r="P651" s="12" t="str">
        <f t="shared" si="1"/>
        <v/>
      </c>
    </row>
    <row r="652">
      <c r="B652" s="12"/>
      <c r="J652" s="12"/>
      <c r="L652" s="21"/>
      <c r="N652" s="12"/>
      <c r="O652" s="12"/>
      <c r="P652" s="12" t="str">
        <f t="shared" si="1"/>
        <v/>
      </c>
    </row>
    <row r="653">
      <c r="B653" s="12"/>
      <c r="J653" s="12"/>
      <c r="L653" s="21"/>
      <c r="N653" s="12"/>
      <c r="O653" s="12"/>
      <c r="P653" s="12" t="str">
        <f t="shared" si="1"/>
        <v/>
      </c>
    </row>
    <row r="654">
      <c r="B654" s="12"/>
      <c r="J654" s="12"/>
      <c r="L654" s="21"/>
      <c r="N654" s="12"/>
      <c r="O654" s="12"/>
      <c r="P654" s="12" t="str">
        <f t="shared" si="1"/>
        <v/>
      </c>
    </row>
    <row r="655">
      <c r="B655" s="12"/>
      <c r="J655" s="12"/>
      <c r="L655" s="21"/>
      <c r="N655" s="12"/>
      <c r="O655" s="12"/>
      <c r="P655" s="12" t="str">
        <f t="shared" si="1"/>
        <v/>
      </c>
    </row>
    <row r="656">
      <c r="B656" s="12"/>
      <c r="J656" s="12"/>
      <c r="L656" s="21"/>
      <c r="N656" s="12"/>
      <c r="O656" s="12"/>
      <c r="P656" s="12" t="str">
        <f t="shared" si="1"/>
        <v/>
      </c>
    </row>
    <row r="657">
      <c r="B657" s="12"/>
      <c r="J657" s="12"/>
      <c r="L657" s="21"/>
      <c r="N657" s="12"/>
      <c r="O657" s="12"/>
      <c r="P657" s="12" t="str">
        <f t="shared" si="1"/>
        <v/>
      </c>
    </row>
    <row r="658">
      <c r="B658" s="12"/>
      <c r="J658" s="12"/>
      <c r="L658" s="21"/>
      <c r="N658" s="12"/>
      <c r="O658" s="12"/>
      <c r="P658" s="12" t="str">
        <f t="shared" si="1"/>
        <v/>
      </c>
    </row>
    <row r="659">
      <c r="B659" s="12"/>
      <c r="J659" s="12"/>
      <c r="L659" s="21"/>
      <c r="N659" s="12"/>
      <c r="O659" s="12"/>
      <c r="P659" s="12" t="str">
        <f t="shared" si="1"/>
        <v/>
      </c>
    </row>
    <row r="660">
      <c r="B660" s="12"/>
      <c r="J660" s="12"/>
      <c r="L660" s="21"/>
      <c r="N660" s="12"/>
      <c r="O660" s="12"/>
      <c r="P660" s="12" t="str">
        <f t="shared" si="1"/>
        <v/>
      </c>
    </row>
    <row r="661">
      <c r="B661" s="12"/>
      <c r="J661" s="12"/>
      <c r="L661" s="21"/>
      <c r="N661" s="12"/>
      <c r="O661" s="12"/>
      <c r="P661" s="12" t="str">
        <f t="shared" si="1"/>
        <v/>
      </c>
    </row>
    <row r="662">
      <c r="B662" s="12"/>
      <c r="J662" s="12"/>
      <c r="L662" s="21"/>
      <c r="N662" s="12"/>
      <c r="O662" s="12"/>
      <c r="P662" s="12" t="str">
        <f t="shared" si="1"/>
        <v/>
      </c>
    </row>
    <row r="663">
      <c r="B663" s="12"/>
      <c r="J663" s="12"/>
      <c r="L663" s="21"/>
      <c r="N663" s="12"/>
      <c r="O663" s="12"/>
      <c r="P663" s="12" t="str">
        <f t="shared" si="1"/>
        <v/>
      </c>
    </row>
    <row r="664">
      <c r="B664" s="12"/>
      <c r="J664" s="12"/>
      <c r="L664" s="21"/>
      <c r="N664" s="12"/>
      <c r="O664" s="12"/>
      <c r="P664" s="12" t="str">
        <f t="shared" si="1"/>
        <v/>
      </c>
    </row>
    <row r="665">
      <c r="B665" s="12"/>
      <c r="J665" s="12"/>
      <c r="L665" s="21"/>
      <c r="N665" s="12"/>
      <c r="O665" s="12"/>
      <c r="P665" s="12" t="str">
        <f t="shared" si="1"/>
        <v/>
      </c>
    </row>
    <row r="666">
      <c r="B666" s="12"/>
      <c r="J666" s="12"/>
      <c r="L666" s="21"/>
      <c r="N666" s="12"/>
      <c r="O666" s="12"/>
      <c r="P666" s="12" t="str">
        <f t="shared" si="1"/>
        <v/>
      </c>
    </row>
    <row r="667">
      <c r="B667" s="12"/>
      <c r="J667" s="12"/>
      <c r="L667" s="21"/>
      <c r="N667" s="12"/>
      <c r="O667" s="12"/>
      <c r="P667" s="12" t="str">
        <f t="shared" si="1"/>
        <v/>
      </c>
    </row>
    <row r="668">
      <c r="B668" s="12"/>
      <c r="J668" s="12"/>
      <c r="L668" s="21"/>
      <c r="N668" s="12"/>
      <c r="O668" s="12"/>
      <c r="P668" s="12" t="str">
        <f t="shared" si="1"/>
        <v/>
      </c>
    </row>
    <row r="669">
      <c r="B669" s="12"/>
      <c r="J669" s="12"/>
      <c r="L669" s="21"/>
      <c r="N669" s="12"/>
      <c r="O669" s="12"/>
      <c r="P669" s="12" t="str">
        <f t="shared" si="1"/>
        <v/>
      </c>
    </row>
    <row r="670">
      <c r="B670" s="12"/>
      <c r="J670" s="12"/>
      <c r="L670" s="21"/>
      <c r="N670" s="12"/>
      <c r="O670" s="12"/>
      <c r="P670" s="12" t="str">
        <f t="shared" si="1"/>
        <v/>
      </c>
    </row>
    <row r="671">
      <c r="B671" s="12"/>
      <c r="J671" s="12"/>
      <c r="L671" s="21"/>
      <c r="N671" s="12"/>
      <c r="O671" s="12"/>
      <c r="P671" s="12" t="str">
        <f t="shared" si="1"/>
        <v/>
      </c>
    </row>
    <row r="672">
      <c r="B672" s="12"/>
      <c r="J672" s="12"/>
      <c r="L672" s="21"/>
      <c r="N672" s="12"/>
      <c r="O672" s="12"/>
      <c r="P672" s="12" t="str">
        <f t="shared" si="1"/>
        <v/>
      </c>
    </row>
    <row r="673">
      <c r="B673" s="12"/>
      <c r="J673" s="12"/>
      <c r="L673" s="21"/>
      <c r="N673" s="12"/>
      <c r="O673" s="12"/>
      <c r="P673" s="12" t="str">
        <f t="shared" si="1"/>
        <v/>
      </c>
    </row>
    <row r="674">
      <c r="B674" s="12"/>
      <c r="J674" s="12"/>
      <c r="L674" s="21"/>
      <c r="N674" s="12"/>
      <c r="O674" s="12"/>
      <c r="P674" s="12" t="str">
        <f t="shared" si="1"/>
        <v/>
      </c>
    </row>
    <row r="675">
      <c r="B675" s="12"/>
      <c r="J675" s="12"/>
      <c r="L675" s="21"/>
      <c r="N675" s="12"/>
      <c r="O675" s="12"/>
      <c r="P675" s="12" t="str">
        <f t="shared" si="1"/>
        <v/>
      </c>
    </row>
    <row r="676">
      <c r="B676" s="12"/>
      <c r="J676" s="12"/>
      <c r="L676" s="21"/>
      <c r="N676" s="12"/>
      <c r="O676" s="12"/>
      <c r="P676" s="12" t="str">
        <f t="shared" si="1"/>
        <v/>
      </c>
    </row>
    <row r="677">
      <c r="B677" s="12"/>
      <c r="J677" s="12"/>
      <c r="L677" s="21"/>
      <c r="N677" s="12"/>
      <c r="O677" s="12"/>
      <c r="P677" s="12" t="str">
        <f t="shared" si="1"/>
        <v/>
      </c>
    </row>
    <row r="678">
      <c r="B678" s="12"/>
      <c r="J678" s="12"/>
      <c r="L678" s="21"/>
      <c r="N678" s="12"/>
      <c r="O678" s="12"/>
      <c r="P678" s="12" t="str">
        <f t="shared" si="1"/>
        <v/>
      </c>
    </row>
    <row r="679">
      <c r="B679" s="12"/>
      <c r="J679" s="12"/>
      <c r="L679" s="21"/>
      <c r="N679" s="12"/>
      <c r="O679" s="12"/>
      <c r="P679" s="12" t="str">
        <f t="shared" si="1"/>
        <v/>
      </c>
    </row>
    <row r="680">
      <c r="B680" s="12"/>
      <c r="J680" s="12"/>
      <c r="L680" s="21"/>
      <c r="N680" s="12"/>
      <c r="O680" s="12"/>
      <c r="P680" s="12" t="str">
        <f t="shared" si="1"/>
        <v/>
      </c>
    </row>
    <row r="681">
      <c r="B681" s="12"/>
      <c r="J681" s="12"/>
      <c r="L681" s="21"/>
      <c r="N681" s="12"/>
      <c r="O681" s="12"/>
      <c r="P681" s="12" t="str">
        <f t="shared" si="1"/>
        <v/>
      </c>
    </row>
    <row r="682">
      <c r="B682" s="12"/>
      <c r="J682" s="12"/>
      <c r="L682" s="21"/>
      <c r="N682" s="12"/>
      <c r="O682" s="12"/>
      <c r="P682" s="12" t="str">
        <f t="shared" si="1"/>
        <v/>
      </c>
    </row>
    <row r="683">
      <c r="B683" s="12"/>
      <c r="J683" s="12"/>
      <c r="L683" s="21"/>
      <c r="N683" s="12"/>
      <c r="O683" s="12"/>
      <c r="P683" s="12" t="str">
        <f t="shared" si="1"/>
        <v/>
      </c>
    </row>
    <row r="684">
      <c r="B684" s="12"/>
      <c r="J684" s="12"/>
      <c r="L684" s="21"/>
      <c r="N684" s="12"/>
      <c r="O684" s="12"/>
      <c r="P684" s="12" t="str">
        <f t="shared" si="1"/>
        <v/>
      </c>
    </row>
    <row r="685">
      <c r="B685" s="12"/>
      <c r="J685" s="12"/>
      <c r="L685" s="21"/>
      <c r="N685" s="12"/>
      <c r="O685" s="12"/>
      <c r="P685" s="12" t="str">
        <f t="shared" si="1"/>
        <v/>
      </c>
    </row>
    <row r="686">
      <c r="B686" s="12"/>
      <c r="J686" s="12"/>
      <c r="L686" s="21"/>
      <c r="N686" s="12"/>
      <c r="O686" s="12"/>
      <c r="P686" s="12" t="str">
        <f t="shared" si="1"/>
        <v/>
      </c>
    </row>
    <row r="687">
      <c r="B687" s="12"/>
      <c r="J687" s="12"/>
      <c r="L687" s="21"/>
      <c r="N687" s="12"/>
      <c r="O687" s="12"/>
      <c r="P687" s="12" t="str">
        <f t="shared" si="1"/>
        <v/>
      </c>
    </row>
    <row r="688">
      <c r="B688" s="12"/>
      <c r="J688" s="12"/>
      <c r="L688" s="21"/>
      <c r="N688" s="12"/>
      <c r="O688" s="12"/>
      <c r="P688" s="12" t="str">
        <f t="shared" si="1"/>
        <v/>
      </c>
    </row>
    <row r="689">
      <c r="B689" s="12"/>
      <c r="J689" s="12"/>
      <c r="L689" s="21"/>
      <c r="N689" s="12"/>
      <c r="O689" s="12"/>
      <c r="P689" s="12" t="str">
        <f t="shared" si="1"/>
        <v/>
      </c>
    </row>
    <row r="690">
      <c r="B690" s="12"/>
      <c r="J690" s="12"/>
      <c r="L690" s="21"/>
      <c r="N690" s="12"/>
      <c r="O690" s="12"/>
      <c r="P690" s="12" t="str">
        <f t="shared" si="1"/>
        <v/>
      </c>
    </row>
    <row r="691">
      <c r="B691" s="12"/>
      <c r="J691" s="12"/>
      <c r="L691" s="21"/>
      <c r="N691" s="12"/>
      <c r="O691" s="12"/>
      <c r="P691" s="12" t="str">
        <f t="shared" si="1"/>
        <v/>
      </c>
    </row>
    <row r="692">
      <c r="B692" s="12"/>
      <c r="J692" s="12"/>
      <c r="L692" s="21"/>
      <c r="N692" s="12"/>
      <c r="O692" s="12"/>
      <c r="P692" s="12" t="str">
        <f t="shared" si="1"/>
        <v/>
      </c>
    </row>
    <row r="693">
      <c r="B693" s="12"/>
      <c r="J693" s="12"/>
      <c r="L693" s="21"/>
      <c r="N693" s="12"/>
      <c r="O693" s="12"/>
      <c r="P693" s="12" t="str">
        <f t="shared" si="1"/>
        <v/>
      </c>
    </row>
    <row r="694">
      <c r="B694" s="12"/>
      <c r="J694" s="12"/>
      <c r="L694" s="21"/>
      <c r="N694" s="12"/>
      <c r="O694" s="12"/>
      <c r="P694" s="12" t="str">
        <f t="shared" si="1"/>
        <v/>
      </c>
    </row>
    <row r="695">
      <c r="B695" s="12"/>
      <c r="J695" s="12"/>
      <c r="L695" s="21"/>
      <c r="N695" s="12"/>
      <c r="O695" s="12"/>
      <c r="P695" s="12" t="str">
        <f t="shared" si="1"/>
        <v/>
      </c>
    </row>
    <row r="696">
      <c r="B696" s="12"/>
      <c r="J696" s="12"/>
      <c r="L696" s="21"/>
      <c r="N696" s="12"/>
      <c r="O696" s="12"/>
      <c r="P696" s="12" t="str">
        <f t="shared" si="1"/>
        <v/>
      </c>
    </row>
    <row r="697">
      <c r="B697" s="12"/>
      <c r="J697" s="12"/>
      <c r="L697" s="21"/>
      <c r="N697" s="12"/>
      <c r="O697" s="12"/>
      <c r="P697" s="12" t="str">
        <f t="shared" si="1"/>
        <v/>
      </c>
    </row>
    <row r="698">
      <c r="B698" s="12"/>
      <c r="J698" s="12"/>
      <c r="L698" s="21"/>
      <c r="N698" s="12"/>
      <c r="O698" s="12"/>
      <c r="P698" s="12" t="str">
        <f t="shared" si="1"/>
        <v/>
      </c>
    </row>
    <row r="699">
      <c r="B699" s="12"/>
      <c r="J699" s="12"/>
      <c r="L699" s="21"/>
      <c r="N699" s="12"/>
      <c r="O699" s="12"/>
      <c r="P699" s="12" t="str">
        <f t="shared" si="1"/>
        <v/>
      </c>
    </row>
    <row r="700">
      <c r="B700" s="12"/>
      <c r="J700" s="12"/>
      <c r="L700" s="21"/>
      <c r="N700" s="12"/>
      <c r="O700" s="12"/>
      <c r="P700" s="12" t="str">
        <f t="shared" si="1"/>
        <v/>
      </c>
    </row>
    <row r="701">
      <c r="B701" s="12"/>
      <c r="J701" s="12"/>
      <c r="L701" s="21"/>
      <c r="N701" s="12"/>
      <c r="O701" s="12"/>
      <c r="P701" s="12" t="str">
        <f t="shared" si="1"/>
        <v/>
      </c>
    </row>
    <row r="702">
      <c r="B702" s="12"/>
      <c r="J702" s="12"/>
      <c r="L702" s="21"/>
      <c r="N702" s="12"/>
      <c r="O702" s="12"/>
      <c r="P702" s="12" t="str">
        <f t="shared" si="1"/>
        <v/>
      </c>
    </row>
    <row r="703">
      <c r="B703" s="12"/>
      <c r="J703" s="12"/>
      <c r="L703" s="21"/>
      <c r="N703" s="12"/>
      <c r="O703" s="12"/>
      <c r="P703" s="12" t="str">
        <f t="shared" si="1"/>
        <v/>
      </c>
    </row>
    <row r="704">
      <c r="B704" s="12"/>
      <c r="J704" s="12"/>
      <c r="L704" s="21"/>
      <c r="N704" s="12"/>
      <c r="O704" s="12"/>
      <c r="P704" s="12" t="str">
        <f t="shared" si="1"/>
        <v/>
      </c>
    </row>
    <row r="705">
      <c r="B705" s="12"/>
      <c r="J705" s="12"/>
      <c r="L705" s="21"/>
      <c r="N705" s="12"/>
      <c r="O705" s="12"/>
      <c r="P705" s="12" t="str">
        <f t="shared" si="1"/>
        <v/>
      </c>
    </row>
    <row r="706">
      <c r="B706" s="12"/>
      <c r="J706" s="12"/>
      <c r="L706" s="21"/>
      <c r="N706" s="12"/>
      <c r="O706" s="12"/>
      <c r="P706" s="12" t="str">
        <f t="shared" si="1"/>
        <v/>
      </c>
    </row>
    <row r="707">
      <c r="B707" s="12"/>
      <c r="J707" s="12"/>
      <c r="L707" s="21"/>
      <c r="N707" s="12"/>
      <c r="O707" s="12"/>
      <c r="P707" s="12" t="str">
        <f t="shared" si="1"/>
        <v/>
      </c>
    </row>
    <row r="708">
      <c r="B708" s="12"/>
      <c r="J708" s="12"/>
      <c r="L708" s="21"/>
      <c r="N708" s="12"/>
      <c r="O708" s="12"/>
      <c r="P708" s="12" t="str">
        <f t="shared" si="1"/>
        <v/>
      </c>
    </row>
    <row r="709">
      <c r="B709" s="12"/>
      <c r="J709" s="12"/>
      <c r="L709" s="21"/>
      <c r="N709" s="12"/>
      <c r="O709" s="12"/>
      <c r="P709" s="12" t="str">
        <f t="shared" si="1"/>
        <v/>
      </c>
    </row>
    <row r="710">
      <c r="B710" s="12"/>
      <c r="J710" s="12"/>
      <c r="L710" s="21"/>
      <c r="N710" s="12"/>
      <c r="O710" s="12"/>
      <c r="P710" s="12" t="str">
        <f t="shared" si="1"/>
        <v/>
      </c>
    </row>
    <row r="711">
      <c r="B711" s="12"/>
      <c r="J711" s="12"/>
      <c r="L711" s="21"/>
      <c r="N711" s="12"/>
      <c r="O711" s="12"/>
      <c r="P711" s="12" t="str">
        <f t="shared" si="1"/>
        <v/>
      </c>
    </row>
    <row r="712">
      <c r="B712" s="12"/>
      <c r="J712" s="12"/>
      <c r="L712" s="21"/>
      <c r="N712" s="12"/>
      <c r="O712" s="12"/>
      <c r="P712" s="12" t="str">
        <f t="shared" si="1"/>
        <v/>
      </c>
    </row>
    <row r="713">
      <c r="B713" s="12"/>
      <c r="J713" s="12"/>
      <c r="L713" s="21"/>
      <c r="N713" s="12"/>
      <c r="O713" s="12"/>
      <c r="P713" s="12" t="str">
        <f t="shared" si="1"/>
        <v/>
      </c>
    </row>
    <row r="714">
      <c r="B714" s="12"/>
      <c r="J714" s="12"/>
      <c r="L714" s="21"/>
      <c r="N714" s="12"/>
      <c r="O714" s="12"/>
      <c r="P714" s="12" t="str">
        <f t="shared" si="1"/>
        <v/>
      </c>
    </row>
    <row r="715">
      <c r="B715" s="12"/>
      <c r="J715" s="12"/>
      <c r="L715" s="21"/>
      <c r="N715" s="12"/>
      <c r="O715" s="12"/>
      <c r="P715" s="12" t="str">
        <f t="shared" si="1"/>
        <v/>
      </c>
    </row>
    <row r="716">
      <c r="B716" s="12"/>
      <c r="J716" s="12"/>
      <c r="L716" s="21"/>
      <c r="N716" s="12"/>
      <c r="O716" s="12"/>
      <c r="P716" s="12" t="str">
        <f t="shared" si="1"/>
        <v/>
      </c>
    </row>
    <row r="717">
      <c r="B717" s="12"/>
      <c r="J717" s="12"/>
      <c r="L717" s="21"/>
      <c r="N717" s="12"/>
      <c r="O717" s="12"/>
      <c r="P717" s="12" t="str">
        <f t="shared" si="1"/>
        <v/>
      </c>
    </row>
    <row r="718">
      <c r="B718" s="12"/>
      <c r="J718" s="12"/>
      <c r="L718" s="21"/>
      <c r="N718" s="12"/>
      <c r="O718" s="12"/>
      <c r="P718" s="12" t="str">
        <f t="shared" si="1"/>
        <v/>
      </c>
    </row>
    <row r="719">
      <c r="B719" s="12"/>
      <c r="J719" s="12"/>
      <c r="L719" s="21"/>
      <c r="N719" s="12"/>
      <c r="O719" s="12"/>
      <c r="P719" s="12" t="str">
        <f t="shared" si="1"/>
        <v/>
      </c>
    </row>
    <row r="720">
      <c r="B720" s="12"/>
      <c r="J720" s="12"/>
      <c r="L720" s="21"/>
      <c r="N720" s="12"/>
      <c r="O720" s="12"/>
      <c r="P720" s="12" t="str">
        <f t="shared" si="1"/>
        <v/>
      </c>
    </row>
    <row r="721">
      <c r="B721" s="12"/>
      <c r="J721" s="12"/>
      <c r="L721" s="21"/>
      <c r="N721" s="12"/>
      <c r="O721" s="12"/>
      <c r="P721" s="12" t="str">
        <f t="shared" si="1"/>
        <v/>
      </c>
    </row>
    <row r="722">
      <c r="B722" s="12"/>
      <c r="J722" s="12"/>
      <c r="L722" s="21"/>
      <c r="N722" s="12"/>
      <c r="O722" s="12"/>
      <c r="P722" s="12" t="str">
        <f t="shared" si="1"/>
        <v/>
      </c>
    </row>
    <row r="723">
      <c r="B723" s="12"/>
      <c r="J723" s="12"/>
      <c r="L723" s="21"/>
      <c r="N723" s="12"/>
      <c r="O723" s="12"/>
      <c r="P723" s="12" t="str">
        <f t="shared" si="1"/>
        <v/>
      </c>
    </row>
    <row r="724">
      <c r="B724" s="12"/>
      <c r="J724" s="12"/>
      <c r="L724" s="21"/>
      <c r="N724" s="12"/>
      <c r="O724" s="12"/>
      <c r="P724" s="12" t="str">
        <f t="shared" si="1"/>
        <v/>
      </c>
    </row>
    <row r="725">
      <c r="B725" s="12"/>
      <c r="J725" s="12"/>
      <c r="L725" s="21"/>
      <c r="N725" s="12"/>
      <c r="O725" s="12"/>
      <c r="P725" s="12" t="str">
        <f t="shared" si="1"/>
        <v/>
      </c>
    </row>
    <row r="726">
      <c r="B726" s="12"/>
      <c r="J726" s="12"/>
      <c r="L726" s="21"/>
      <c r="N726" s="12"/>
      <c r="O726" s="12"/>
      <c r="P726" s="12" t="str">
        <f t="shared" si="1"/>
        <v/>
      </c>
    </row>
    <row r="727">
      <c r="B727" s="12"/>
      <c r="J727" s="12"/>
      <c r="L727" s="21"/>
      <c r="N727" s="12"/>
      <c r="O727" s="12"/>
      <c r="P727" s="12" t="str">
        <f t="shared" si="1"/>
        <v/>
      </c>
    </row>
    <row r="728">
      <c r="B728" s="12"/>
      <c r="J728" s="12"/>
      <c r="L728" s="21"/>
      <c r="N728" s="12"/>
      <c r="O728" s="12"/>
      <c r="P728" s="12" t="str">
        <f t="shared" si="1"/>
        <v/>
      </c>
    </row>
    <row r="729">
      <c r="B729" s="12"/>
      <c r="J729" s="12"/>
      <c r="L729" s="21"/>
      <c r="N729" s="12"/>
      <c r="O729" s="12"/>
      <c r="P729" s="12" t="str">
        <f t="shared" si="1"/>
        <v/>
      </c>
    </row>
    <row r="730">
      <c r="B730" s="12"/>
      <c r="J730" s="12"/>
      <c r="L730" s="21"/>
      <c r="N730" s="12"/>
      <c r="O730" s="12"/>
      <c r="P730" s="12" t="str">
        <f t="shared" si="1"/>
        <v/>
      </c>
    </row>
    <row r="731">
      <c r="B731" s="12"/>
      <c r="J731" s="12"/>
      <c r="L731" s="21"/>
      <c r="N731" s="12"/>
      <c r="O731" s="12"/>
      <c r="P731" s="12" t="str">
        <f t="shared" si="1"/>
        <v/>
      </c>
    </row>
    <row r="732">
      <c r="B732" s="12"/>
      <c r="J732" s="12"/>
      <c r="L732" s="21"/>
      <c r="N732" s="12"/>
      <c r="O732" s="12"/>
      <c r="P732" s="12" t="str">
        <f t="shared" si="1"/>
        <v/>
      </c>
    </row>
    <row r="733">
      <c r="B733" s="12"/>
      <c r="J733" s="12"/>
      <c r="L733" s="21"/>
      <c r="N733" s="12"/>
      <c r="O733" s="12"/>
      <c r="P733" s="12" t="str">
        <f t="shared" si="1"/>
        <v/>
      </c>
    </row>
    <row r="734">
      <c r="B734" s="12"/>
      <c r="J734" s="12"/>
      <c r="L734" s="21"/>
      <c r="N734" s="12"/>
      <c r="O734" s="12"/>
      <c r="P734" s="12" t="str">
        <f t="shared" si="1"/>
        <v/>
      </c>
    </row>
    <row r="735">
      <c r="B735" s="12"/>
      <c r="J735" s="12"/>
      <c r="L735" s="21"/>
      <c r="N735" s="12"/>
      <c r="O735" s="12"/>
      <c r="P735" s="12" t="str">
        <f t="shared" si="1"/>
        <v/>
      </c>
    </row>
    <row r="736">
      <c r="B736" s="12"/>
      <c r="J736" s="12"/>
      <c r="L736" s="21"/>
      <c r="N736" s="12"/>
      <c r="O736" s="12"/>
      <c r="P736" s="12" t="str">
        <f t="shared" si="1"/>
        <v/>
      </c>
    </row>
    <row r="737">
      <c r="B737" s="12"/>
      <c r="J737" s="12"/>
      <c r="L737" s="21"/>
      <c r="N737" s="12"/>
      <c r="O737" s="12"/>
      <c r="P737" s="12" t="str">
        <f t="shared" si="1"/>
        <v/>
      </c>
    </row>
    <row r="738">
      <c r="B738" s="12"/>
      <c r="J738" s="12"/>
      <c r="L738" s="21"/>
      <c r="N738" s="12"/>
      <c r="O738" s="12"/>
      <c r="P738" s="12" t="str">
        <f t="shared" si="1"/>
        <v/>
      </c>
    </row>
    <row r="739">
      <c r="B739" s="12"/>
      <c r="J739" s="12"/>
      <c r="L739" s="21"/>
      <c r="N739" s="12"/>
      <c r="O739" s="12"/>
      <c r="P739" s="12" t="str">
        <f t="shared" si="1"/>
        <v/>
      </c>
    </row>
    <row r="740">
      <c r="B740" s="12"/>
      <c r="J740" s="12"/>
      <c r="L740" s="21"/>
      <c r="N740" s="12"/>
      <c r="O740" s="12"/>
      <c r="P740" s="12" t="str">
        <f t="shared" si="1"/>
        <v/>
      </c>
    </row>
    <row r="741">
      <c r="B741" s="12"/>
      <c r="J741" s="12"/>
      <c r="L741" s="21"/>
      <c r="N741" s="12"/>
      <c r="O741" s="12"/>
      <c r="P741" s="12" t="str">
        <f t="shared" si="1"/>
        <v/>
      </c>
    </row>
    <row r="742">
      <c r="B742" s="12"/>
      <c r="J742" s="12"/>
      <c r="L742" s="21"/>
      <c r="N742" s="12"/>
      <c r="O742" s="12"/>
      <c r="P742" s="12" t="str">
        <f t="shared" si="1"/>
        <v/>
      </c>
    </row>
    <row r="743">
      <c r="B743" s="12"/>
      <c r="J743" s="12"/>
      <c r="L743" s="21"/>
      <c r="N743" s="12"/>
      <c r="O743" s="12"/>
      <c r="P743" s="12" t="str">
        <f t="shared" si="1"/>
        <v/>
      </c>
    </row>
    <row r="744">
      <c r="B744" s="12"/>
      <c r="J744" s="12"/>
      <c r="L744" s="21"/>
      <c r="N744" s="12"/>
      <c r="O744" s="12"/>
      <c r="P744" s="12" t="str">
        <f t="shared" si="1"/>
        <v/>
      </c>
    </row>
    <row r="745">
      <c r="B745" s="12"/>
      <c r="J745" s="12"/>
      <c r="L745" s="21"/>
      <c r="N745" s="12"/>
      <c r="O745" s="12"/>
      <c r="P745" s="12" t="str">
        <f t="shared" si="1"/>
        <v/>
      </c>
    </row>
    <row r="746">
      <c r="B746" s="12"/>
      <c r="J746" s="12"/>
      <c r="L746" s="21"/>
      <c r="N746" s="12"/>
      <c r="O746" s="12"/>
      <c r="P746" s="12" t="str">
        <f t="shared" si="1"/>
        <v/>
      </c>
    </row>
    <row r="747">
      <c r="B747" s="12"/>
      <c r="J747" s="12"/>
      <c r="L747" s="21"/>
      <c r="N747" s="12"/>
      <c r="O747" s="12"/>
      <c r="P747" s="12" t="str">
        <f t="shared" si="1"/>
        <v/>
      </c>
    </row>
    <row r="748">
      <c r="B748" s="12"/>
      <c r="J748" s="12"/>
      <c r="L748" s="21"/>
      <c r="N748" s="12"/>
      <c r="O748" s="12"/>
      <c r="P748" s="12" t="str">
        <f t="shared" si="1"/>
        <v/>
      </c>
    </row>
    <row r="749">
      <c r="B749" s="12"/>
      <c r="J749" s="12"/>
      <c r="L749" s="21"/>
      <c r="N749" s="12"/>
      <c r="O749" s="12"/>
      <c r="P749" s="12" t="str">
        <f t="shared" si="1"/>
        <v/>
      </c>
    </row>
    <row r="750">
      <c r="B750" s="12"/>
      <c r="J750" s="12"/>
      <c r="L750" s="21"/>
      <c r="N750" s="12"/>
      <c r="O750" s="12"/>
      <c r="P750" s="12" t="str">
        <f t="shared" si="1"/>
        <v/>
      </c>
    </row>
    <row r="751">
      <c r="B751" s="12"/>
      <c r="J751" s="12"/>
      <c r="L751" s="21"/>
      <c r="N751" s="12"/>
      <c r="O751" s="12"/>
      <c r="P751" s="12" t="str">
        <f t="shared" si="1"/>
        <v/>
      </c>
    </row>
    <row r="752">
      <c r="B752" s="12"/>
      <c r="J752" s="12"/>
      <c r="L752" s="21"/>
      <c r="N752" s="12"/>
      <c r="O752" s="12"/>
      <c r="P752" s="12" t="str">
        <f t="shared" si="1"/>
        <v/>
      </c>
    </row>
    <row r="753">
      <c r="B753" s="12"/>
      <c r="J753" s="12"/>
      <c r="L753" s="21"/>
      <c r="N753" s="12"/>
      <c r="O753" s="12"/>
      <c r="P753" s="12" t="str">
        <f t="shared" si="1"/>
        <v/>
      </c>
    </row>
    <row r="754">
      <c r="B754" s="12"/>
      <c r="J754" s="12"/>
      <c r="L754" s="21"/>
      <c r="N754" s="12"/>
      <c r="O754" s="12"/>
      <c r="P754" s="12" t="str">
        <f t="shared" si="1"/>
        <v/>
      </c>
    </row>
    <row r="755">
      <c r="B755" s="12"/>
      <c r="J755" s="12"/>
      <c r="L755" s="21"/>
      <c r="N755" s="12"/>
      <c r="O755" s="12"/>
      <c r="P755" s="12" t="str">
        <f t="shared" si="1"/>
        <v/>
      </c>
    </row>
    <row r="756">
      <c r="B756" s="12"/>
      <c r="J756" s="12"/>
      <c r="L756" s="21"/>
      <c r="N756" s="12"/>
      <c r="O756" s="12"/>
      <c r="P756" s="12" t="str">
        <f t="shared" si="1"/>
        <v/>
      </c>
    </row>
    <row r="757">
      <c r="B757" s="12"/>
      <c r="J757" s="12"/>
      <c r="L757" s="21"/>
      <c r="N757" s="12"/>
      <c r="O757" s="12"/>
      <c r="P757" s="12" t="str">
        <f t="shared" si="1"/>
        <v/>
      </c>
    </row>
    <row r="758">
      <c r="B758" s="12"/>
      <c r="J758" s="12"/>
      <c r="L758" s="21"/>
      <c r="N758" s="12"/>
      <c r="O758" s="12"/>
      <c r="P758" s="12" t="str">
        <f t="shared" si="1"/>
        <v/>
      </c>
    </row>
    <row r="759">
      <c r="B759" s="12"/>
      <c r="J759" s="12"/>
      <c r="L759" s="21"/>
      <c r="N759" s="12"/>
      <c r="O759" s="12"/>
      <c r="P759" s="12" t="str">
        <f t="shared" si="1"/>
        <v/>
      </c>
    </row>
    <row r="760">
      <c r="B760" s="12"/>
      <c r="J760" s="12"/>
      <c r="L760" s="21"/>
      <c r="N760" s="12"/>
      <c r="O760" s="12"/>
      <c r="P760" s="12" t="str">
        <f t="shared" si="1"/>
        <v/>
      </c>
    </row>
    <row r="761">
      <c r="B761" s="12"/>
      <c r="J761" s="12"/>
      <c r="L761" s="21"/>
      <c r="N761" s="12"/>
      <c r="O761" s="12"/>
      <c r="P761" s="12" t="str">
        <f t="shared" si="1"/>
        <v/>
      </c>
    </row>
    <row r="762">
      <c r="B762" s="12"/>
      <c r="J762" s="12"/>
      <c r="L762" s="21"/>
      <c r="N762" s="12"/>
      <c r="O762" s="12"/>
      <c r="P762" s="12" t="str">
        <f t="shared" si="1"/>
        <v/>
      </c>
    </row>
    <row r="763">
      <c r="B763" s="12"/>
      <c r="J763" s="12"/>
      <c r="L763" s="21"/>
      <c r="N763" s="12"/>
      <c r="O763" s="12"/>
      <c r="P763" s="12" t="str">
        <f t="shared" si="1"/>
        <v/>
      </c>
    </row>
    <row r="764">
      <c r="B764" s="12"/>
      <c r="J764" s="12"/>
      <c r="L764" s="21"/>
      <c r="N764" s="12"/>
      <c r="O764" s="12"/>
      <c r="P764" s="12" t="str">
        <f t="shared" si="1"/>
        <v/>
      </c>
    </row>
    <row r="765">
      <c r="B765" s="12"/>
      <c r="J765" s="12"/>
      <c r="L765" s="21"/>
      <c r="N765" s="12"/>
      <c r="O765" s="12"/>
      <c r="P765" s="12" t="str">
        <f t="shared" si="1"/>
        <v/>
      </c>
    </row>
    <row r="766">
      <c r="B766" s="12"/>
      <c r="J766" s="12"/>
      <c r="L766" s="21"/>
      <c r="N766" s="12"/>
      <c r="O766" s="12"/>
      <c r="P766" s="12" t="str">
        <f t="shared" si="1"/>
        <v/>
      </c>
    </row>
    <row r="767">
      <c r="B767" s="12"/>
      <c r="J767" s="12"/>
      <c r="L767" s="21"/>
      <c r="N767" s="12"/>
      <c r="O767" s="12"/>
      <c r="P767" s="12" t="str">
        <f t="shared" si="1"/>
        <v/>
      </c>
    </row>
    <row r="768">
      <c r="B768" s="12"/>
      <c r="J768" s="12"/>
      <c r="L768" s="21"/>
      <c r="N768" s="12"/>
      <c r="O768" s="12"/>
      <c r="P768" s="12" t="str">
        <f t="shared" si="1"/>
        <v/>
      </c>
    </row>
    <row r="769">
      <c r="B769" s="12"/>
      <c r="J769" s="12"/>
      <c r="L769" s="21"/>
      <c r="N769" s="12"/>
      <c r="O769" s="12"/>
      <c r="P769" s="12" t="str">
        <f t="shared" si="1"/>
        <v/>
      </c>
    </row>
    <row r="770">
      <c r="B770" s="12"/>
      <c r="J770" s="12"/>
      <c r="L770" s="21"/>
      <c r="N770" s="12"/>
      <c r="O770" s="12"/>
      <c r="P770" s="12" t="str">
        <f t="shared" si="1"/>
        <v/>
      </c>
    </row>
    <row r="771">
      <c r="B771" s="12"/>
      <c r="J771" s="12"/>
      <c r="L771" s="21"/>
      <c r="N771" s="12"/>
      <c r="O771" s="12"/>
      <c r="P771" s="12" t="str">
        <f t="shared" si="1"/>
        <v/>
      </c>
    </row>
    <row r="772">
      <c r="B772" s="12"/>
      <c r="J772" s="12"/>
      <c r="L772" s="21"/>
      <c r="N772" s="12"/>
      <c r="O772" s="12"/>
      <c r="P772" s="12" t="str">
        <f t="shared" si="1"/>
        <v/>
      </c>
    </row>
    <row r="773">
      <c r="B773" s="12"/>
      <c r="J773" s="12"/>
      <c r="L773" s="21"/>
      <c r="N773" s="12"/>
      <c r="O773" s="12"/>
      <c r="P773" s="12" t="str">
        <f t="shared" si="1"/>
        <v/>
      </c>
    </row>
    <row r="774">
      <c r="B774" s="12"/>
      <c r="J774" s="12"/>
      <c r="L774" s="21"/>
      <c r="N774" s="12"/>
      <c r="O774" s="12"/>
      <c r="P774" s="12" t="str">
        <f t="shared" si="1"/>
        <v/>
      </c>
    </row>
    <row r="775">
      <c r="B775" s="12"/>
      <c r="J775" s="12"/>
      <c r="L775" s="21"/>
      <c r="N775" s="12"/>
      <c r="O775" s="12"/>
      <c r="P775" s="12" t="str">
        <f t="shared" si="1"/>
        <v/>
      </c>
    </row>
    <row r="776">
      <c r="B776" s="12"/>
      <c r="J776" s="12"/>
      <c r="L776" s="21"/>
      <c r="N776" s="12"/>
      <c r="O776" s="12"/>
      <c r="P776" s="12" t="str">
        <f t="shared" si="1"/>
        <v/>
      </c>
    </row>
    <row r="777">
      <c r="B777" s="12"/>
      <c r="J777" s="12"/>
      <c r="L777" s="21"/>
      <c r="N777" s="12"/>
      <c r="O777" s="12"/>
      <c r="P777" s="12" t="str">
        <f t="shared" si="1"/>
        <v/>
      </c>
    </row>
    <row r="778">
      <c r="B778" s="12"/>
      <c r="J778" s="12"/>
      <c r="L778" s="21"/>
      <c r="N778" s="12"/>
      <c r="O778" s="12"/>
      <c r="P778" s="12" t="str">
        <f t="shared" si="1"/>
        <v/>
      </c>
    </row>
    <row r="779">
      <c r="B779" s="12"/>
      <c r="J779" s="12"/>
      <c r="L779" s="21"/>
      <c r="N779" s="12"/>
      <c r="O779" s="12"/>
      <c r="P779" s="12" t="str">
        <f t="shared" si="1"/>
        <v/>
      </c>
    </row>
    <row r="780">
      <c r="B780" s="12"/>
      <c r="J780" s="12"/>
      <c r="L780" s="21"/>
      <c r="N780" s="12"/>
      <c r="O780" s="12"/>
      <c r="P780" s="12" t="str">
        <f t="shared" si="1"/>
        <v/>
      </c>
    </row>
    <row r="781">
      <c r="B781" s="12"/>
      <c r="J781" s="12"/>
      <c r="L781" s="21"/>
      <c r="N781" s="12"/>
      <c r="O781" s="12"/>
      <c r="P781" s="12" t="str">
        <f t="shared" si="1"/>
        <v/>
      </c>
    </row>
    <row r="782">
      <c r="B782" s="12"/>
      <c r="J782" s="12"/>
      <c r="L782" s="21"/>
      <c r="N782" s="12"/>
      <c r="O782" s="12"/>
      <c r="P782" s="12" t="str">
        <f t="shared" si="1"/>
        <v/>
      </c>
    </row>
    <row r="783">
      <c r="B783" s="12"/>
      <c r="J783" s="12"/>
      <c r="L783" s="21"/>
      <c r="N783" s="12"/>
      <c r="O783" s="12"/>
      <c r="P783" s="12" t="str">
        <f t="shared" si="1"/>
        <v/>
      </c>
    </row>
    <row r="784">
      <c r="B784" s="12"/>
      <c r="J784" s="12"/>
      <c r="L784" s="21"/>
      <c r="N784" s="12"/>
      <c r="O784" s="12"/>
      <c r="P784" s="12" t="str">
        <f t="shared" si="1"/>
        <v/>
      </c>
    </row>
    <row r="785">
      <c r="B785" s="12"/>
      <c r="J785" s="12"/>
      <c r="L785" s="21"/>
      <c r="N785" s="12"/>
      <c r="O785" s="12"/>
      <c r="P785" s="12" t="str">
        <f t="shared" si="1"/>
        <v/>
      </c>
    </row>
    <row r="786">
      <c r="B786" s="12"/>
      <c r="J786" s="12"/>
      <c r="L786" s="21"/>
      <c r="N786" s="12"/>
      <c r="O786" s="12"/>
      <c r="P786" s="12" t="str">
        <f t="shared" si="1"/>
        <v/>
      </c>
    </row>
    <row r="787">
      <c r="B787" s="12"/>
      <c r="J787" s="12"/>
      <c r="L787" s="21"/>
      <c r="N787" s="12"/>
      <c r="O787" s="12"/>
      <c r="P787" s="12" t="str">
        <f t="shared" si="1"/>
        <v/>
      </c>
    </row>
    <row r="788">
      <c r="B788" s="12"/>
      <c r="J788" s="12"/>
      <c r="L788" s="21"/>
      <c r="N788" s="12"/>
      <c r="O788" s="12"/>
      <c r="P788" s="12" t="str">
        <f t="shared" si="1"/>
        <v/>
      </c>
    </row>
    <row r="789">
      <c r="B789" s="12"/>
      <c r="J789" s="12"/>
      <c r="L789" s="21"/>
      <c r="N789" s="12"/>
      <c r="O789" s="12"/>
      <c r="P789" s="12" t="str">
        <f t="shared" si="1"/>
        <v/>
      </c>
    </row>
    <row r="790">
      <c r="B790" s="12"/>
      <c r="J790" s="12"/>
      <c r="L790" s="21"/>
      <c r="N790" s="12"/>
      <c r="O790" s="12"/>
      <c r="P790" s="12" t="str">
        <f t="shared" si="1"/>
        <v/>
      </c>
    </row>
    <row r="791">
      <c r="B791" s="12"/>
      <c r="J791" s="12"/>
      <c r="L791" s="21"/>
      <c r="N791" s="12"/>
      <c r="O791" s="12"/>
      <c r="P791" s="12" t="str">
        <f t="shared" si="1"/>
        <v/>
      </c>
    </row>
    <row r="792">
      <c r="B792" s="12"/>
      <c r="J792" s="12"/>
      <c r="L792" s="21"/>
      <c r="N792" s="12"/>
      <c r="O792" s="12"/>
      <c r="P792" s="12" t="str">
        <f t="shared" si="1"/>
        <v/>
      </c>
    </row>
    <row r="793">
      <c r="B793" s="12"/>
      <c r="J793" s="12"/>
      <c r="L793" s="21"/>
      <c r="N793" s="12"/>
      <c r="O793" s="12"/>
      <c r="P793" s="12" t="str">
        <f t="shared" si="1"/>
        <v/>
      </c>
    </row>
    <row r="794">
      <c r="B794" s="12"/>
      <c r="J794" s="12"/>
      <c r="L794" s="21"/>
      <c r="N794" s="12"/>
      <c r="O794" s="12"/>
      <c r="P794" s="12" t="str">
        <f t="shared" si="1"/>
        <v/>
      </c>
    </row>
    <row r="795">
      <c r="B795" s="12"/>
      <c r="J795" s="12"/>
      <c r="L795" s="21"/>
      <c r="N795" s="12"/>
      <c r="O795" s="12"/>
      <c r="P795" s="12" t="str">
        <f t="shared" si="1"/>
        <v/>
      </c>
    </row>
    <row r="796">
      <c r="B796" s="12"/>
      <c r="J796" s="12"/>
      <c r="L796" s="21"/>
      <c r="N796" s="12"/>
      <c r="O796" s="12"/>
      <c r="P796" s="12" t="str">
        <f t="shared" si="1"/>
        <v/>
      </c>
    </row>
    <row r="797">
      <c r="B797" s="12"/>
      <c r="J797" s="12"/>
      <c r="L797" s="21"/>
      <c r="N797" s="12"/>
      <c r="O797" s="12"/>
      <c r="P797" s="12" t="str">
        <f t="shared" si="1"/>
        <v/>
      </c>
    </row>
    <row r="798">
      <c r="B798" s="12"/>
      <c r="J798" s="12"/>
      <c r="L798" s="21"/>
      <c r="N798" s="12"/>
      <c r="O798" s="12"/>
      <c r="P798" s="12" t="str">
        <f t="shared" si="1"/>
        <v/>
      </c>
    </row>
    <row r="799">
      <c r="B799" s="12"/>
      <c r="J799" s="12"/>
      <c r="L799" s="21"/>
      <c r="N799" s="12"/>
      <c r="O799" s="12"/>
      <c r="P799" s="12" t="str">
        <f t="shared" si="1"/>
        <v/>
      </c>
    </row>
    <row r="800">
      <c r="B800" s="12"/>
      <c r="J800" s="12"/>
      <c r="L800" s="21"/>
      <c r="N800" s="12"/>
      <c r="O800" s="12"/>
      <c r="P800" s="12" t="str">
        <f t="shared" si="1"/>
        <v/>
      </c>
    </row>
    <row r="801">
      <c r="B801" s="12"/>
      <c r="J801" s="12"/>
      <c r="L801" s="21"/>
      <c r="N801" s="12"/>
      <c r="O801" s="12"/>
      <c r="P801" s="12" t="str">
        <f t="shared" si="1"/>
        <v/>
      </c>
    </row>
    <row r="802">
      <c r="B802" s="12"/>
      <c r="J802" s="12"/>
      <c r="L802" s="21"/>
      <c r="N802" s="12"/>
      <c r="O802" s="12"/>
      <c r="P802" s="12" t="str">
        <f t="shared" si="1"/>
        <v/>
      </c>
    </row>
    <row r="803">
      <c r="B803" s="12"/>
      <c r="J803" s="12"/>
      <c r="L803" s="21"/>
      <c r="N803" s="12"/>
      <c r="O803" s="12"/>
      <c r="P803" s="12" t="str">
        <f t="shared" si="1"/>
        <v/>
      </c>
    </row>
    <row r="804">
      <c r="B804" s="12"/>
      <c r="J804" s="12"/>
      <c r="L804" s="21"/>
      <c r="N804" s="12"/>
      <c r="O804" s="12"/>
      <c r="P804" s="12" t="str">
        <f t="shared" si="1"/>
        <v/>
      </c>
    </row>
    <row r="805">
      <c r="B805" s="12"/>
      <c r="J805" s="12"/>
      <c r="L805" s="21"/>
      <c r="N805" s="12"/>
      <c r="O805" s="12"/>
      <c r="P805" s="12" t="str">
        <f t="shared" si="1"/>
        <v/>
      </c>
    </row>
    <row r="806">
      <c r="B806" s="12"/>
      <c r="J806" s="12"/>
      <c r="L806" s="21"/>
      <c r="N806" s="12"/>
      <c r="O806" s="12"/>
      <c r="P806" s="12" t="str">
        <f t="shared" si="1"/>
        <v/>
      </c>
    </row>
    <row r="807">
      <c r="B807" s="12"/>
      <c r="J807" s="12"/>
      <c r="L807" s="21"/>
      <c r="N807" s="12"/>
      <c r="O807" s="12"/>
      <c r="P807" s="12" t="str">
        <f t="shared" si="1"/>
        <v/>
      </c>
    </row>
    <row r="808">
      <c r="B808" s="12"/>
      <c r="J808" s="12"/>
      <c r="L808" s="21"/>
      <c r="N808" s="12"/>
      <c r="O808" s="12"/>
      <c r="P808" s="12" t="str">
        <f t="shared" si="1"/>
        <v/>
      </c>
    </row>
    <row r="809">
      <c r="B809" s="12"/>
      <c r="J809" s="12"/>
      <c r="L809" s="21"/>
      <c r="N809" s="12"/>
      <c r="O809" s="12"/>
      <c r="P809" s="12" t="str">
        <f t="shared" si="1"/>
        <v/>
      </c>
    </row>
    <row r="810">
      <c r="B810" s="12"/>
      <c r="J810" s="12"/>
      <c r="L810" s="21"/>
      <c r="N810" s="12"/>
      <c r="O810" s="12"/>
      <c r="P810" s="12" t="str">
        <f t="shared" si="1"/>
        <v/>
      </c>
    </row>
    <row r="811">
      <c r="B811" s="12"/>
      <c r="J811" s="12"/>
      <c r="L811" s="21"/>
      <c r="N811" s="12"/>
      <c r="O811" s="12"/>
      <c r="P811" s="12" t="str">
        <f t="shared" si="1"/>
        <v/>
      </c>
    </row>
    <row r="812">
      <c r="B812" s="12"/>
      <c r="J812" s="12"/>
      <c r="L812" s="21"/>
      <c r="N812" s="12"/>
      <c r="O812" s="12"/>
      <c r="P812" s="12" t="str">
        <f t="shared" si="1"/>
        <v/>
      </c>
    </row>
    <row r="813">
      <c r="B813" s="12"/>
      <c r="J813" s="12"/>
      <c r="L813" s="21"/>
      <c r="N813" s="12"/>
      <c r="O813" s="12"/>
      <c r="P813" s="12" t="str">
        <f t="shared" si="1"/>
        <v/>
      </c>
    </row>
    <row r="814">
      <c r="B814" s="12"/>
      <c r="J814" s="12"/>
      <c r="L814" s="21"/>
      <c r="N814" s="12"/>
      <c r="O814" s="12"/>
      <c r="P814" s="12" t="str">
        <f t="shared" si="1"/>
        <v/>
      </c>
    </row>
    <row r="815">
      <c r="B815" s="12"/>
      <c r="J815" s="12"/>
      <c r="L815" s="21"/>
      <c r="N815" s="12"/>
      <c r="O815" s="12"/>
      <c r="P815" s="12" t="str">
        <f t="shared" si="1"/>
        <v/>
      </c>
    </row>
    <row r="816">
      <c r="B816" s="12"/>
      <c r="J816" s="12"/>
      <c r="L816" s="21"/>
      <c r="N816" s="12"/>
      <c r="O816" s="12"/>
      <c r="P816" s="12" t="str">
        <f t="shared" si="1"/>
        <v/>
      </c>
    </row>
    <row r="817">
      <c r="B817" s="12"/>
      <c r="J817" s="12"/>
      <c r="L817" s="21"/>
      <c r="N817" s="12"/>
      <c r="O817" s="12"/>
      <c r="P817" s="12" t="str">
        <f t="shared" si="1"/>
        <v/>
      </c>
    </row>
    <row r="818">
      <c r="B818" s="12"/>
      <c r="J818" s="12"/>
      <c r="L818" s="21"/>
      <c r="N818" s="12"/>
      <c r="O818" s="12"/>
      <c r="P818" s="12" t="str">
        <f t="shared" si="1"/>
        <v/>
      </c>
    </row>
    <row r="819">
      <c r="B819" s="12"/>
      <c r="J819" s="12"/>
      <c r="L819" s="21"/>
      <c r="N819" s="12"/>
      <c r="O819" s="12"/>
      <c r="P819" s="12" t="str">
        <f t="shared" si="1"/>
        <v/>
      </c>
    </row>
    <row r="820">
      <c r="B820" s="12"/>
      <c r="J820" s="12"/>
      <c r="L820" s="21"/>
      <c r="N820" s="12"/>
      <c r="O820" s="12"/>
      <c r="P820" s="12" t="str">
        <f t="shared" si="1"/>
        <v/>
      </c>
    </row>
    <row r="821">
      <c r="B821" s="12"/>
      <c r="J821" s="12"/>
      <c r="L821" s="21"/>
      <c r="N821" s="12"/>
      <c r="O821" s="12"/>
      <c r="P821" s="12" t="str">
        <f t="shared" si="1"/>
        <v/>
      </c>
    </row>
    <row r="822">
      <c r="B822" s="12"/>
      <c r="J822" s="12"/>
      <c r="L822" s="21"/>
      <c r="N822" s="12"/>
      <c r="O822" s="12"/>
      <c r="P822" s="12" t="str">
        <f t="shared" si="1"/>
        <v/>
      </c>
    </row>
    <row r="823">
      <c r="B823" s="12"/>
      <c r="J823" s="12"/>
      <c r="L823" s="21"/>
      <c r="N823" s="12"/>
      <c r="O823" s="12"/>
      <c r="P823" s="12" t="str">
        <f t="shared" si="1"/>
        <v/>
      </c>
    </row>
    <row r="824">
      <c r="B824" s="12"/>
      <c r="J824" s="12"/>
      <c r="L824" s="21"/>
      <c r="N824" s="12"/>
      <c r="O824" s="12"/>
      <c r="P824" s="12" t="str">
        <f t="shared" si="1"/>
        <v/>
      </c>
    </row>
    <row r="825">
      <c r="B825" s="12"/>
      <c r="J825" s="12"/>
      <c r="L825" s="21"/>
      <c r="N825" s="12"/>
      <c r="O825" s="12"/>
      <c r="P825" s="12" t="str">
        <f t="shared" si="1"/>
        <v/>
      </c>
    </row>
    <row r="826">
      <c r="B826" s="12"/>
      <c r="J826" s="12"/>
      <c r="L826" s="21"/>
      <c r="N826" s="12"/>
      <c r="O826" s="12"/>
      <c r="P826" s="12" t="str">
        <f t="shared" si="1"/>
        <v/>
      </c>
    </row>
    <row r="827">
      <c r="B827" s="12"/>
      <c r="J827" s="12"/>
      <c r="L827" s="21"/>
      <c r="N827" s="12"/>
      <c r="O827" s="12"/>
      <c r="P827" s="12" t="str">
        <f t="shared" si="1"/>
        <v/>
      </c>
    </row>
    <row r="828">
      <c r="B828" s="12"/>
      <c r="J828" s="12"/>
      <c r="L828" s="21"/>
      <c r="N828" s="12"/>
      <c r="O828" s="12"/>
      <c r="P828" s="12" t="str">
        <f t="shared" si="1"/>
        <v/>
      </c>
    </row>
    <row r="829">
      <c r="B829" s="12"/>
      <c r="J829" s="12"/>
      <c r="L829" s="21"/>
      <c r="N829" s="12"/>
      <c r="O829" s="12"/>
      <c r="P829" s="12" t="str">
        <f t="shared" si="1"/>
        <v/>
      </c>
    </row>
    <row r="830">
      <c r="B830" s="12"/>
      <c r="J830" s="12"/>
      <c r="L830" s="21"/>
      <c r="N830" s="12"/>
      <c r="O830" s="12"/>
      <c r="P830" s="12" t="str">
        <f t="shared" si="1"/>
        <v/>
      </c>
    </row>
    <row r="831">
      <c r="B831" s="12"/>
      <c r="J831" s="12"/>
      <c r="L831" s="21"/>
      <c r="N831" s="12"/>
      <c r="O831" s="12"/>
      <c r="P831" s="12" t="str">
        <f t="shared" si="1"/>
        <v/>
      </c>
    </row>
    <row r="832">
      <c r="B832" s="12"/>
      <c r="J832" s="12"/>
      <c r="L832" s="21"/>
      <c r="N832" s="12"/>
      <c r="O832" s="12"/>
      <c r="P832" s="12" t="str">
        <f t="shared" si="1"/>
        <v/>
      </c>
    </row>
    <row r="833">
      <c r="B833" s="12"/>
      <c r="J833" s="12"/>
      <c r="L833" s="21"/>
      <c r="N833" s="12"/>
      <c r="O833" s="12"/>
      <c r="P833" s="12" t="str">
        <f t="shared" si="1"/>
        <v/>
      </c>
    </row>
    <row r="834">
      <c r="B834" s="12"/>
      <c r="J834" s="12"/>
      <c r="L834" s="21"/>
      <c r="N834" s="12"/>
      <c r="O834" s="12"/>
      <c r="P834" s="12" t="str">
        <f t="shared" si="1"/>
        <v/>
      </c>
    </row>
    <row r="835">
      <c r="B835" s="12"/>
      <c r="J835" s="12"/>
      <c r="L835" s="21"/>
      <c r="N835" s="12"/>
      <c r="O835" s="12"/>
      <c r="P835" s="12" t="str">
        <f t="shared" si="1"/>
        <v/>
      </c>
    </row>
    <row r="836">
      <c r="B836" s="12"/>
      <c r="J836" s="12"/>
      <c r="L836" s="21"/>
      <c r="N836" s="12"/>
      <c r="O836" s="12"/>
      <c r="P836" s="12" t="str">
        <f t="shared" si="1"/>
        <v/>
      </c>
    </row>
    <row r="837">
      <c r="B837" s="12"/>
      <c r="J837" s="12"/>
      <c r="L837" s="21"/>
      <c r="N837" s="12"/>
      <c r="O837" s="12"/>
      <c r="P837" s="12" t="str">
        <f t="shared" si="1"/>
        <v/>
      </c>
    </row>
    <row r="838">
      <c r="B838" s="12"/>
      <c r="J838" s="12"/>
      <c r="L838" s="21"/>
      <c r="N838" s="12"/>
      <c r="O838" s="12"/>
      <c r="P838" s="12" t="str">
        <f t="shared" si="1"/>
        <v/>
      </c>
    </row>
    <row r="839">
      <c r="B839" s="12"/>
      <c r="J839" s="12"/>
      <c r="L839" s="21"/>
      <c r="N839" s="12"/>
      <c r="O839" s="12"/>
      <c r="P839" s="12" t="str">
        <f t="shared" si="1"/>
        <v/>
      </c>
    </row>
    <row r="840">
      <c r="B840" s="12"/>
      <c r="J840" s="12"/>
      <c r="L840" s="21"/>
      <c r="N840" s="12"/>
      <c r="O840" s="12"/>
      <c r="P840" s="12" t="str">
        <f t="shared" si="1"/>
        <v/>
      </c>
    </row>
    <row r="841">
      <c r="B841" s="12"/>
      <c r="J841" s="12"/>
      <c r="L841" s="21"/>
      <c r="N841" s="12"/>
      <c r="O841" s="12"/>
      <c r="P841" s="12" t="str">
        <f t="shared" si="1"/>
        <v/>
      </c>
    </row>
    <row r="842">
      <c r="B842" s="12"/>
      <c r="J842" s="12"/>
      <c r="L842" s="21"/>
      <c r="N842" s="12"/>
      <c r="O842" s="12"/>
      <c r="P842" s="12" t="str">
        <f t="shared" si="1"/>
        <v/>
      </c>
    </row>
    <row r="843">
      <c r="B843" s="12"/>
      <c r="J843" s="12"/>
      <c r="L843" s="21"/>
      <c r="N843" s="12"/>
      <c r="O843" s="12"/>
      <c r="P843" s="12" t="str">
        <f t="shared" si="1"/>
        <v/>
      </c>
    </row>
    <row r="844">
      <c r="B844" s="12"/>
      <c r="J844" s="12"/>
      <c r="L844" s="21"/>
      <c r="N844" s="12"/>
      <c r="O844" s="12"/>
      <c r="P844" s="12" t="str">
        <f t="shared" si="1"/>
        <v/>
      </c>
    </row>
    <row r="845">
      <c r="B845" s="12"/>
      <c r="J845" s="12"/>
      <c r="L845" s="21"/>
      <c r="N845" s="12"/>
      <c r="O845" s="12"/>
      <c r="P845" s="12" t="str">
        <f t="shared" si="1"/>
        <v/>
      </c>
    </row>
    <row r="846">
      <c r="B846" s="12"/>
      <c r="J846" s="12"/>
      <c r="L846" s="21"/>
      <c r="N846" s="12"/>
      <c r="O846" s="12"/>
      <c r="P846" s="12" t="str">
        <f t="shared" si="1"/>
        <v/>
      </c>
    </row>
    <row r="847">
      <c r="B847" s="12"/>
      <c r="J847" s="12"/>
      <c r="L847" s="21"/>
      <c r="N847" s="12"/>
      <c r="O847" s="12"/>
      <c r="P847" s="12" t="str">
        <f t="shared" si="1"/>
        <v/>
      </c>
    </row>
    <row r="848">
      <c r="B848" s="12"/>
      <c r="J848" s="12"/>
      <c r="L848" s="21"/>
      <c r="N848" s="12"/>
      <c r="O848" s="12"/>
      <c r="P848" s="12" t="str">
        <f t="shared" si="1"/>
        <v/>
      </c>
    </row>
    <row r="849">
      <c r="B849" s="12"/>
      <c r="J849" s="12"/>
      <c r="L849" s="21"/>
      <c r="N849" s="12"/>
      <c r="O849" s="12"/>
      <c r="P849" s="12" t="str">
        <f t="shared" si="1"/>
        <v/>
      </c>
    </row>
    <row r="850">
      <c r="B850" s="12"/>
      <c r="J850" s="12"/>
      <c r="L850" s="21"/>
      <c r="N850" s="12"/>
      <c r="O850" s="12"/>
      <c r="P850" s="12" t="str">
        <f t="shared" si="1"/>
        <v/>
      </c>
    </row>
    <row r="851">
      <c r="B851" s="12"/>
      <c r="J851" s="12"/>
      <c r="L851" s="21"/>
      <c r="N851" s="12"/>
      <c r="O851" s="12"/>
      <c r="P851" s="12" t="str">
        <f t="shared" si="1"/>
        <v/>
      </c>
    </row>
    <row r="852">
      <c r="B852" s="12"/>
      <c r="J852" s="12"/>
      <c r="L852" s="21"/>
      <c r="N852" s="12"/>
      <c r="O852" s="12"/>
      <c r="P852" s="12" t="str">
        <f t="shared" si="1"/>
        <v/>
      </c>
    </row>
    <row r="853">
      <c r="B853" s="12"/>
      <c r="J853" s="12"/>
      <c r="L853" s="21"/>
      <c r="N853" s="12"/>
      <c r="O853" s="12"/>
      <c r="P853" s="12" t="str">
        <f t="shared" si="1"/>
        <v/>
      </c>
    </row>
    <row r="854">
      <c r="B854" s="12"/>
      <c r="J854" s="12"/>
      <c r="L854" s="21"/>
      <c r="N854" s="12"/>
      <c r="O854" s="12"/>
      <c r="P854" s="12" t="str">
        <f t="shared" si="1"/>
        <v/>
      </c>
    </row>
    <row r="855">
      <c r="B855" s="12"/>
      <c r="J855" s="12"/>
      <c r="L855" s="21"/>
      <c r="N855" s="12"/>
      <c r="O855" s="12"/>
      <c r="P855" s="12" t="str">
        <f t="shared" si="1"/>
        <v/>
      </c>
    </row>
    <row r="856">
      <c r="B856" s="12"/>
      <c r="J856" s="12"/>
      <c r="L856" s="21"/>
      <c r="N856" s="12"/>
      <c r="O856" s="12"/>
      <c r="P856" s="12" t="str">
        <f t="shared" si="1"/>
        <v/>
      </c>
    </row>
    <row r="857">
      <c r="B857" s="12"/>
      <c r="J857" s="12"/>
      <c r="L857" s="21"/>
      <c r="N857" s="12"/>
      <c r="O857" s="12"/>
      <c r="P857" s="12" t="str">
        <f t="shared" si="1"/>
        <v/>
      </c>
    </row>
    <row r="858">
      <c r="B858" s="12"/>
      <c r="J858" s="12"/>
      <c r="L858" s="21"/>
      <c r="N858" s="12"/>
      <c r="O858" s="12"/>
      <c r="P858" s="12" t="str">
        <f t="shared" si="1"/>
        <v/>
      </c>
    </row>
    <row r="859">
      <c r="B859" s="12"/>
      <c r="J859" s="12"/>
      <c r="L859" s="21"/>
      <c r="N859" s="12"/>
      <c r="O859" s="12"/>
      <c r="P859" s="12" t="str">
        <f t="shared" si="1"/>
        <v/>
      </c>
    </row>
    <row r="860">
      <c r="B860" s="12"/>
      <c r="J860" s="12"/>
      <c r="L860" s="21"/>
      <c r="N860" s="12"/>
      <c r="O860" s="12"/>
      <c r="P860" s="12" t="str">
        <f t="shared" si="1"/>
        <v/>
      </c>
    </row>
    <row r="861">
      <c r="B861" s="12"/>
      <c r="J861" s="12"/>
      <c r="L861" s="21"/>
      <c r="N861" s="12"/>
      <c r="O861" s="12"/>
      <c r="P861" s="12" t="str">
        <f t="shared" si="1"/>
        <v/>
      </c>
    </row>
    <row r="862">
      <c r="B862" s="12"/>
      <c r="J862" s="12"/>
      <c r="L862" s="21"/>
      <c r="N862" s="12"/>
      <c r="O862" s="12"/>
      <c r="P862" s="12" t="str">
        <f t="shared" si="1"/>
        <v/>
      </c>
    </row>
    <row r="863">
      <c r="B863" s="12"/>
      <c r="J863" s="12"/>
      <c r="L863" s="21"/>
      <c r="N863" s="12"/>
      <c r="O863" s="12"/>
      <c r="P863" s="12" t="str">
        <f t="shared" si="1"/>
        <v/>
      </c>
    </row>
    <row r="864">
      <c r="B864" s="12"/>
      <c r="J864" s="12"/>
      <c r="L864" s="21"/>
      <c r="N864" s="12"/>
      <c r="O864" s="12"/>
      <c r="P864" s="12" t="str">
        <f t="shared" si="1"/>
        <v/>
      </c>
    </row>
    <row r="865">
      <c r="B865" s="12"/>
      <c r="J865" s="12"/>
      <c r="L865" s="21"/>
      <c r="N865" s="12"/>
      <c r="O865" s="12"/>
      <c r="P865" s="12" t="str">
        <f t="shared" si="1"/>
        <v/>
      </c>
    </row>
    <row r="866">
      <c r="B866" s="12"/>
      <c r="J866" s="12"/>
      <c r="L866" s="21"/>
      <c r="N866" s="12"/>
      <c r="O866" s="12"/>
      <c r="P866" s="12" t="str">
        <f t="shared" si="1"/>
        <v/>
      </c>
    </row>
    <row r="867">
      <c r="B867" s="12"/>
      <c r="J867" s="12"/>
      <c r="L867" s="21"/>
      <c r="N867" s="12"/>
      <c r="O867" s="12"/>
      <c r="P867" s="12" t="str">
        <f t="shared" si="1"/>
        <v/>
      </c>
    </row>
    <row r="868">
      <c r="B868" s="12"/>
      <c r="J868" s="12"/>
      <c r="L868" s="21"/>
      <c r="N868" s="12"/>
      <c r="O868" s="12"/>
      <c r="P868" s="12" t="str">
        <f t="shared" si="1"/>
        <v/>
      </c>
    </row>
    <row r="869">
      <c r="B869" s="12"/>
      <c r="J869" s="12"/>
      <c r="L869" s="21"/>
      <c r="N869" s="12"/>
      <c r="O869" s="12"/>
      <c r="P869" s="12" t="str">
        <f t="shared" si="1"/>
        <v/>
      </c>
    </row>
    <row r="870">
      <c r="B870" s="12"/>
      <c r="J870" s="12"/>
      <c r="L870" s="21"/>
      <c r="N870" s="12"/>
      <c r="O870" s="12"/>
      <c r="P870" s="12" t="str">
        <f t="shared" si="1"/>
        <v/>
      </c>
    </row>
    <row r="871">
      <c r="B871" s="12"/>
      <c r="J871" s="12"/>
      <c r="L871" s="21"/>
      <c r="N871" s="12"/>
      <c r="O871" s="12"/>
      <c r="P871" s="12" t="str">
        <f t="shared" si="1"/>
        <v/>
      </c>
    </row>
    <row r="872">
      <c r="B872" s="12"/>
      <c r="J872" s="12"/>
      <c r="L872" s="21"/>
      <c r="N872" s="12"/>
      <c r="O872" s="12"/>
      <c r="P872" s="12" t="str">
        <f t="shared" si="1"/>
        <v/>
      </c>
    </row>
    <row r="873">
      <c r="B873" s="12"/>
      <c r="J873" s="12"/>
      <c r="L873" s="21"/>
      <c r="N873" s="12"/>
      <c r="O873" s="12"/>
      <c r="P873" s="12" t="str">
        <f t="shared" si="1"/>
        <v/>
      </c>
    </row>
    <row r="874">
      <c r="B874" s="12"/>
      <c r="J874" s="12"/>
      <c r="L874" s="21"/>
      <c r="N874" s="12"/>
      <c r="O874" s="12"/>
      <c r="P874" s="12" t="str">
        <f t="shared" si="1"/>
        <v/>
      </c>
    </row>
    <row r="875">
      <c r="B875" s="12"/>
      <c r="J875" s="12"/>
      <c r="L875" s="21"/>
      <c r="N875" s="12"/>
      <c r="O875" s="12"/>
      <c r="P875" s="12" t="str">
        <f t="shared" si="1"/>
        <v/>
      </c>
    </row>
    <row r="876">
      <c r="B876" s="12"/>
      <c r="J876" s="12"/>
      <c r="L876" s="21"/>
      <c r="N876" s="12"/>
      <c r="O876" s="12"/>
      <c r="P876" s="12" t="str">
        <f t="shared" si="1"/>
        <v/>
      </c>
    </row>
    <row r="877">
      <c r="B877" s="12"/>
      <c r="J877" s="12"/>
      <c r="L877" s="21"/>
      <c r="N877" s="12"/>
      <c r="O877" s="12"/>
      <c r="P877" s="12" t="str">
        <f t="shared" si="1"/>
        <v/>
      </c>
    </row>
    <row r="878">
      <c r="B878" s="12"/>
      <c r="J878" s="12"/>
      <c r="L878" s="21"/>
      <c r="N878" s="12"/>
      <c r="O878" s="12"/>
      <c r="P878" s="12" t="str">
        <f t="shared" si="1"/>
        <v/>
      </c>
    </row>
    <row r="879">
      <c r="B879" s="12"/>
      <c r="J879" s="12"/>
      <c r="L879" s="21"/>
      <c r="N879" s="12"/>
      <c r="O879" s="12"/>
      <c r="P879" s="12" t="str">
        <f t="shared" si="1"/>
        <v/>
      </c>
    </row>
    <row r="880">
      <c r="B880" s="12"/>
      <c r="J880" s="12"/>
      <c r="L880" s="21"/>
      <c r="N880" s="12"/>
      <c r="O880" s="12"/>
      <c r="P880" s="12" t="str">
        <f t="shared" si="1"/>
        <v/>
      </c>
    </row>
    <row r="881">
      <c r="B881" s="12"/>
      <c r="J881" s="12"/>
      <c r="L881" s="21"/>
      <c r="N881" s="12"/>
      <c r="O881" s="12"/>
      <c r="P881" s="12" t="str">
        <f t="shared" si="1"/>
        <v/>
      </c>
    </row>
    <row r="882">
      <c r="B882" s="12"/>
      <c r="J882" s="12"/>
      <c r="L882" s="21"/>
      <c r="N882" s="12"/>
      <c r="O882" s="12"/>
      <c r="P882" s="12" t="str">
        <f t="shared" si="1"/>
        <v/>
      </c>
    </row>
    <row r="883">
      <c r="B883" s="12"/>
      <c r="J883" s="12"/>
      <c r="L883" s="21"/>
      <c r="N883" s="12"/>
      <c r="O883" s="12"/>
      <c r="P883" s="12" t="str">
        <f t="shared" si="1"/>
        <v/>
      </c>
    </row>
    <row r="884">
      <c r="B884" s="12"/>
      <c r="J884" s="12"/>
      <c r="L884" s="21"/>
      <c r="N884" s="12"/>
      <c r="O884" s="12"/>
      <c r="P884" s="12" t="str">
        <f t="shared" si="1"/>
        <v/>
      </c>
    </row>
    <row r="885">
      <c r="B885" s="12"/>
      <c r="J885" s="12"/>
      <c r="L885" s="21"/>
      <c r="N885" s="12"/>
      <c r="O885" s="12"/>
      <c r="P885" s="12" t="str">
        <f t="shared" si="1"/>
        <v/>
      </c>
    </row>
    <row r="886">
      <c r="B886" s="12"/>
      <c r="J886" s="12"/>
      <c r="L886" s="21"/>
      <c r="N886" s="12"/>
      <c r="O886" s="12"/>
      <c r="P886" s="12" t="str">
        <f t="shared" si="1"/>
        <v/>
      </c>
    </row>
    <row r="887">
      <c r="B887" s="12"/>
      <c r="J887" s="12"/>
      <c r="L887" s="21"/>
      <c r="N887" s="12"/>
      <c r="O887" s="12"/>
      <c r="P887" s="12" t="str">
        <f t="shared" si="1"/>
        <v/>
      </c>
    </row>
    <row r="888">
      <c r="B888" s="12"/>
      <c r="J888" s="12"/>
      <c r="L888" s="21"/>
      <c r="N888" s="12"/>
      <c r="O888" s="12"/>
      <c r="P888" s="12" t="str">
        <f t="shared" si="1"/>
        <v/>
      </c>
    </row>
    <row r="889">
      <c r="B889" s="12"/>
      <c r="J889" s="12"/>
      <c r="L889" s="21"/>
      <c r="N889" s="12"/>
      <c r="O889" s="12"/>
      <c r="P889" s="12" t="str">
        <f t="shared" si="1"/>
        <v/>
      </c>
    </row>
    <row r="890">
      <c r="B890" s="12"/>
      <c r="J890" s="12"/>
      <c r="L890" s="21"/>
      <c r="N890" s="12"/>
      <c r="O890" s="12"/>
      <c r="P890" s="12" t="str">
        <f t="shared" si="1"/>
        <v/>
      </c>
    </row>
    <row r="891">
      <c r="B891" s="12"/>
      <c r="J891" s="12"/>
      <c r="L891" s="21"/>
      <c r="N891" s="12"/>
      <c r="O891" s="12"/>
      <c r="P891" s="12" t="str">
        <f t="shared" si="1"/>
        <v/>
      </c>
    </row>
    <row r="892">
      <c r="B892" s="12"/>
      <c r="J892" s="12"/>
      <c r="L892" s="21"/>
      <c r="N892" s="12"/>
      <c r="O892" s="12"/>
      <c r="P892" s="12" t="str">
        <f t="shared" si="1"/>
        <v/>
      </c>
    </row>
    <row r="893">
      <c r="B893" s="12"/>
      <c r="J893" s="12"/>
      <c r="L893" s="21"/>
      <c r="N893" s="12"/>
      <c r="O893" s="12"/>
      <c r="P893" s="12" t="str">
        <f t="shared" si="1"/>
        <v/>
      </c>
    </row>
    <row r="894">
      <c r="B894" s="12"/>
      <c r="J894" s="12"/>
      <c r="L894" s="21"/>
      <c r="N894" s="12"/>
      <c r="O894" s="12"/>
      <c r="P894" s="12" t="str">
        <f t="shared" si="1"/>
        <v/>
      </c>
    </row>
    <row r="895">
      <c r="B895" s="12"/>
      <c r="J895" s="12"/>
      <c r="L895" s="21"/>
      <c r="N895" s="12"/>
      <c r="O895" s="12"/>
      <c r="P895" s="12" t="str">
        <f t="shared" si="1"/>
        <v/>
      </c>
    </row>
    <row r="896">
      <c r="B896" s="12"/>
      <c r="J896" s="12"/>
      <c r="L896" s="21"/>
      <c r="N896" s="12"/>
      <c r="O896" s="12"/>
      <c r="P896" s="12" t="str">
        <f t="shared" si="1"/>
        <v/>
      </c>
    </row>
    <row r="897">
      <c r="B897" s="12"/>
      <c r="J897" s="12"/>
      <c r="L897" s="21"/>
      <c r="N897" s="12"/>
      <c r="O897" s="12"/>
      <c r="P897" s="12" t="str">
        <f t="shared" si="1"/>
        <v/>
      </c>
    </row>
    <row r="898">
      <c r="B898" s="12"/>
      <c r="J898" s="12"/>
      <c r="L898" s="21"/>
      <c r="N898" s="12"/>
      <c r="O898" s="12"/>
      <c r="P898" s="12" t="str">
        <f t="shared" si="1"/>
        <v/>
      </c>
    </row>
    <row r="899">
      <c r="B899" s="12"/>
      <c r="J899" s="12"/>
      <c r="L899" s="21"/>
      <c r="N899" s="12"/>
      <c r="O899" s="12"/>
      <c r="P899" s="12" t="str">
        <f t="shared" si="1"/>
        <v/>
      </c>
    </row>
    <row r="900">
      <c r="B900" s="12"/>
      <c r="J900" s="12"/>
      <c r="L900" s="21"/>
      <c r="N900" s="12"/>
      <c r="O900" s="12"/>
      <c r="P900" s="12" t="str">
        <f t="shared" si="1"/>
        <v/>
      </c>
    </row>
    <row r="901">
      <c r="B901" s="12"/>
      <c r="J901" s="12"/>
      <c r="L901" s="21"/>
      <c r="N901" s="12"/>
      <c r="O901" s="12"/>
      <c r="P901" s="12" t="str">
        <f t="shared" si="1"/>
        <v/>
      </c>
    </row>
    <row r="902">
      <c r="B902" s="12"/>
      <c r="J902" s="12"/>
      <c r="L902" s="21"/>
      <c r="N902" s="12"/>
      <c r="O902" s="12"/>
      <c r="P902" s="12" t="str">
        <f t="shared" si="1"/>
        <v/>
      </c>
    </row>
    <row r="903">
      <c r="B903" s="12"/>
      <c r="J903" s="12"/>
      <c r="L903" s="21"/>
      <c r="N903" s="12"/>
      <c r="O903" s="12"/>
      <c r="P903" s="12" t="str">
        <f t="shared" si="1"/>
        <v/>
      </c>
    </row>
    <row r="904">
      <c r="B904" s="12"/>
      <c r="J904" s="12"/>
      <c r="L904" s="21"/>
      <c r="N904" s="12"/>
      <c r="O904" s="12"/>
      <c r="P904" s="12" t="str">
        <f t="shared" si="1"/>
        <v/>
      </c>
    </row>
    <row r="905">
      <c r="B905" s="12"/>
      <c r="J905" s="12"/>
      <c r="L905" s="21"/>
      <c r="N905" s="12"/>
      <c r="O905" s="12"/>
      <c r="P905" s="12" t="str">
        <f t="shared" si="1"/>
        <v/>
      </c>
    </row>
    <row r="906">
      <c r="B906" s="12"/>
      <c r="J906" s="12"/>
      <c r="L906" s="21"/>
      <c r="N906" s="12"/>
      <c r="O906" s="12"/>
      <c r="P906" s="12" t="str">
        <f t="shared" si="1"/>
        <v/>
      </c>
    </row>
    <row r="907">
      <c r="B907" s="12"/>
      <c r="J907" s="12"/>
      <c r="L907" s="21"/>
      <c r="N907" s="12"/>
      <c r="O907" s="12"/>
      <c r="P907" s="12" t="str">
        <f t="shared" si="1"/>
        <v/>
      </c>
    </row>
    <row r="908">
      <c r="B908" s="12"/>
      <c r="J908" s="12"/>
      <c r="L908" s="21"/>
      <c r="N908" s="12"/>
      <c r="O908" s="12"/>
      <c r="P908" s="12" t="str">
        <f t="shared" si="1"/>
        <v/>
      </c>
    </row>
    <row r="909">
      <c r="B909" s="12"/>
      <c r="J909" s="12"/>
      <c r="L909" s="21"/>
      <c r="N909" s="12"/>
      <c r="O909" s="12"/>
      <c r="P909" s="12" t="str">
        <f t="shared" si="1"/>
        <v/>
      </c>
    </row>
    <row r="910">
      <c r="B910" s="12"/>
      <c r="J910" s="12"/>
      <c r="L910" s="21"/>
      <c r="N910" s="12"/>
      <c r="O910" s="12"/>
      <c r="P910" s="12" t="str">
        <f t="shared" si="1"/>
        <v/>
      </c>
    </row>
    <row r="911">
      <c r="B911" s="12"/>
      <c r="J911" s="12"/>
      <c r="L911" s="21"/>
      <c r="N911" s="12"/>
      <c r="O911" s="12"/>
      <c r="P911" s="12" t="str">
        <f t="shared" si="1"/>
        <v/>
      </c>
    </row>
    <row r="912">
      <c r="B912" s="12"/>
      <c r="J912" s="12"/>
      <c r="L912" s="21"/>
      <c r="N912" s="12"/>
      <c r="O912" s="12"/>
      <c r="P912" s="12" t="str">
        <f t="shared" si="1"/>
        <v/>
      </c>
    </row>
    <row r="913">
      <c r="B913" s="12"/>
      <c r="J913" s="12"/>
      <c r="L913" s="21"/>
      <c r="N913" s="12"/>
      <c r="O913" s="12"/>
      <c r="P913" s="12" t="str">
        <f t="shared" si="1"/>
        <v/>
      </c>
    </row>
    <row r="914">
      <c r="B914" s="12"/>
      <c r="J914" s="12"/>
      <c r="L914" s="21"/>
      <c r="N914" s="12"/>
      <c r="O914" s="12"/>
      <c r="P914" s="12" t="str">
        <f t="shared" si="1"/>
        <v/>
      </c>
    </row>
    <row r="915">
      <c r="B915" s="12"/>
      <c r="J915" s="12"/>
      <c r="L915" s="21"/>
      <c r="N915" s="12"/>
      <c r="O915" s="12"/>
      <c r="P915" s="12" t="str">
        <f t="shared" si="1"/>
        <v/>
      </c>
    </row>
    <row r="916">
      <c r="B916" s="12"/>
      <c r="J916" s="12"/>
      <c r="L916" s="21"/>
      <c r="N916" s="12"/>
      <c r="O916" s="12"/>
      <c r="P916" s="12" t="str">
        <f t="shared" si="1"/>
        <v/>
      </c>
    </row>
    <row r="917">
      <c r="B917" s="12"/>
      <c r="J917" s="12"/>
      <c r="L917" s="21"/>
      <c r="N917" s="12"/>
      <c r="O917" s="12"/>
      <c r="P917" s="12" t="str">
        <f t="shared" si="1"/>
        <v/>
      </c>
    </row>
    <row r="918">
      <c r="B918" s="12"/>
      <c r="J918" s="12"/>
      <c r="L918" s="21"/>
      <c r="N918" s="12"/>
      <c r="O918" s="12"/>
      <c r="P918" s="12" t="str">
        <f t="shared" si="1"/>
        <v/>
      </c>
    </row>
    <row r="919">
      <c r="B919" s="12"/>
      <c r="J919" s="12"/>
      <c r="L919" s="21"/>
      <c r="N919" s="12"/>
      <c r="O919" s="12"/>
      <c r="P919" s="12" t="str">
        <f t="shared" si="1"/>
        <v/>
      </c>
    </row>
    <row r="920">
      <c r="B920" s="12"/>
      <c r="J920" s="12"/>
      <c r="L920" s="21"/>
      <c r="N920" s="12"/>
      <c r="O920" s="12"/>
      <c r="P920" s="12" t="str">
        <f t="shared" si="1"/>
        <v/>
      </c>
    </row>
    <row r="921">
      <c r="B921" s="12"/>
      <c r="J921" s="12"/>
      <c r="L921" s="21"/>
      <c r="N921" s="12"/>
      <c r="O921" s="12"/>
      <c r="P921" s="12" t="str">
        <f t="shared" si="1"/>
        <v/>
      </c>
    </row>
    <row r="922">
      <c r="B922" s="12"/>
      <c r="J922" s="12"/>
      <c r="L922" s="21"/>
      <c r="N922" s="12"/>
      <c r="O922" s="12"/>
      <c r="P922" s="12" t="str">
        <f t="shared" si="1"/>
        <v/>
      </c>
    </row>
    <row r="923">
      <c r="B923" s="12"/>
      <c r="J923" s="12"/>
      <c r="L923" s="21"/>
      <c r="N923" s="12"/>
      <c r="O923" s="12"/>
      <c r="P923" s="12" t="str">
        <f t="shared" si="1"/>
        <v/>
      </c>
    </row>
    <row r="924">
      <c r="B924" s="12"/>
      <c r="J924" s="12"/>
      <c r="L924" s="21"/>
      <c r="N924" s="12"/>
      <c r="O924" s="12"/>
      <c r="P924" s="12" t="str">
        <f t="shared" si="1"/>
        <v/>
      </c>
    </row>
    <row r="925">
      <c r="B925" s="12"/>
      <c r="J925" s="12"/>
      <c r="L925" s="21"/>
      <c r="N925" s="12"/>
      <c r="O925" s="12"/>
      <c r="P925" s="12" t="str">
        <f t="shared" si="1"/>
        <v/>
      </c>
    </row>
    <row r="926">
      <c r="B926" s="12"/>
      <c r="J926" s="12"/>
      <c r="L926" s="21"/>
      <c r="N926" s="12"/>
      <c r="O926" s="12"/>
      <c r="P926" s="12" t="str">
        <f t="shared" si="1"/>
        <v/>
      </c>
    </row>
    <row r="927">
      <c r="B927" s="12"/>
      <c r="J927" s="12"/>
      <c r="L927" s="21"/>
      <c r="N927" s="12"/>
      <c r="O927" s="12"/>
      <c r="P927" s="12" t="str">
        <f t="shared" si="1"/>
        <v/>
      </c>
    </row>
    <row r="928">
      <c r="B928" s="12"/>
      <c r="J928" s="12"/>
      <c r="L928" s="21"/>
      <c r="N928" s="12"/>
      <c r="O928" s="12"/>
      <c r="P928" s="12" t="str">
        <f t="shared" si="1"/>
        <v/>
      </c>
    </row>
    <row r="929">
      <c r="B929" s="12"/>
      <c r="J929" s="12"/>
      <c r="L929" s="21"/>
      <c r="N929" s="12"/>
      <c r="O929" s="12"/>
      <c r="P929" s="12" t="str">
        <f t="shared" si="1"/>
        <v/>
      </c>
    </row>
    <row r="930">
      <c r="B930" s="12"/>
      <c r="J930" s="12"/>
      <c r="L930" s="21"/>
      <c r="N930" s="12"/>
      <c r="O930" s="12"/>
      <c r="P930" s="12" t="str">
        <f t="shared" si="1"/>
        <v/>
      </c>
    </row>
    <row r="931">
      <c r="B931" s="12"/>
      <c r="J931" s="12"/>
      <c r="L931" s="21"/>
      <c r="N931" s="12"/>
      <c r="O931" s="12"/>
      <c r="P931" s="12" t="str">
        <f t="shared" si="1"/>
        <v/>
      </c>
    </row>
    <row r="932">
      <c r="B932" s="12"/>
      <c r="J932" s="12"/>
      <c r="L932" s="21"/>
      <c r="N932" s="12"/>
      <c r="O932" s="12"/>
      <c r="P932" s="12" t="str">
        <f t="shared" si="1"/>
        <v/>
      </c>
    </row>
    <row r="933">
      <c r="B933" s="12"/>
      <c r="J933" s="12"/>
      <c r="L933" s="21"/>
      <c r="N933" s="12"/>
      <c r="O933" s="12"/>
      <c r="P933" s="12" t="str">
        <f t="shared" si="1"/>
        <v/>
      </c>
    </row>
    <row r="934">
      <c r="B934" s="12"/>
      <c r="J934" s="12"/>
      <c r="L934" s="21"/>
      <c r="N934" s="12"/>
      <c r="O934" s="12"/>
      <c r="P934" s="12" t="str">
        <f t="shared" si="1"/>
        <v/>
      </c>
    </row>
    <row r="935">
      <c r="B935" s="12"/>
      <c r="J935" s="12"/>
      <c r="L935" s="21"/>
      <c r="N935" s="12"/>
      <c r="O935" s="12"/>
      <c r="P935" s="12" t="str">
        <f t="shared" si="1"/>
        <v/>
      </c>
    </row>
    <row r="936">
      <c r="B936" s="12"/>
      <c r="J936" s="12"/>
      <c r="L936" s="21"/>
      <c r="N936" s="12"/>
      <c r="O936" s="12"/>
      <c r="P936" s="12" t="str">
        <f t="shared" si="1"/>
        <v/>
      </c>
    </row>
    <row r="937">
      <c r="B937" s="12"/>
      <c r="J937" s="12"/>
      <c r="L937" s="21"/>
      <c r="N937" s="12"/>
      <c r="O937" s="12"/>
      <c r="P937" s="12" t="str">
        <f t="shared" si="1"/>
        <v/>
      </c>
    </row>
    <row r="938">
      <c r="B938" s="12"/>
      <c r="J938" s="12"/>
      <c r="L938" s="21"/>
      <c r="N938" s="12"/>
      <c r="O938" s="12"/>
      <c r="P938" s="12" t="str">
        <f t="shared" si="1"/>
        <v/>
      </c>
    </row>
    <row r="939">
      <c r="B939" s="12"/>
      <c r="J939" s="12"/>
      <c r="L939" s="21"/>
      <c r="N939" s="12"/>
      <c r="O939" s="12"/>
      <c r="P939" s="12" t="str">
        <f t="shared" si="1"/>
        <v/>
      </c>
    </row>
    <row r="940">
      <c r="B940" s="12"/>
      <c r="J940" s="12"/>
      <c r="L940" s="21"/>
      <c r="N940" s="12"/>
      <c r="O940" s="12"/>
      <c r="P940" s="12" t="str">
        <f t="shared" si="1"/>
        <v/>
      </c>
    </row>
    <row r="941">
      <c r="B941" s="12"/>
      <c r="J941" s="12"/>
      <c r="L941" s="21"/>
      <c r="N941" s="12"/>
      <c r="O941" s="12"/>
      <c r="P941" s="12" t="str">
        <f t="shared" si="1"/>
        <v/>
      </c>
    </row>
    <row r="942">
      <c r="B942" s="12"/>
      <c r="J942" s="12"/>
      <c r="L942" s="21"/>
      <c r="N942" s="12"/>
      <c r="O942" s="12"/>
      <c r="P942" s="12" t="str">
        <f t="shared" si="1"/>
        <v/>
      </c>
    </row>
    <row r="943">
      <c r="B943" s="12"/>
      <c r="J943" s="12"/>
      <c r="L943" s="21"/>
      <c r="N943" s="12"/>
      <c r="O943" s="12"/>
      <c r="P943" s="12" t="str">
        <f t="shared" si="1"/>
        <v/>
      </c>
    </row>
    <row r="944">
      <c r="B944" s="12"/>
      <c r="J944" s="12"/>
      <c r="L944" s="21"/>
      <c r="N944" s="12"/>
      <c r="O944" s="12"/>
      <c r="P944" s="12" t="str">
        <f t="shared" si="1"/>
        <v/>
      </c>
    </row>
    <row r="945">
      <c r="B945" s="12"/>
      <c r="J945" s="12"/>
      <c r="L945" s="21"/>
      <c r="N945" s="12"/>
      <c r="O945" s="12"/>
      <c r="P945" s="12" t="str">
        <f t="shared" si="1"/>
        <v/>
      </c>
    </row>
    <row r="946">
      <c r="B946" s="12"/>
      <c r="J946" s="12"/>
      <c r="L946" s="21"/>
      <c r="N946" s="12"/>
      <c r="O946" s="12"/>
      <c r="P946" s="12" t="str">
        <f t="shared" si="1"/>
        <v/>
      </c>
    </row>
    <row r="947">
      <c r="B947" s="12"/>
      <c r="J947" s="12"/>
      <c r="L947" s="21"/>
      <c r="N947" s="12"/>
      <c r="O947" s="12"/>
      <c r="P947" s="12" t="str">
        <f t="shared" si="1"/>
        <v/>
      </c>
    </row>
    <row r="948">
      <c r="B948" s="12"/>
      <c r="J948" s="12"/>
      <c r="L948" s="21"/>
      <c r="N948" s="12"/>
      <c r="O948" s="12"/>
      <c r="P948" s="12" t="str">
        <f t="shared" si="1"/>
        <v/>
      </c>
    </row>
    <row r="949">
      <c r="B949" s="12"/>
      <c r="J949" s="12"/>
      <c r="L949" s="21"/>
      <c r="N949" s="12"/>
      <c r="O949" s="12"/>
      <c r="P949" s="12" t="str">
        <f t="shared" si="1"/>
        <v/>
      </c>
    </row>
    <row r="950">
      <c r="B950" s="12"/>
      <c r="J950" s="12"/>
      <c r="L950" s="21"/>
      <c r="N950" s="12"/>
      <c r="O950" s="12"/>
      <c r="P950" s="12" t="str">
        <f t="shared" si="1"/>
        <v/>
      </c>
    </row>
    <row r="951">
      <c r="B951" s="12"/>
      <c r="J951" s="12"/>
      <c r="L951" s="21"/>
      <c r="N951" s="12"/>
      <c r="O951" s="12"/>
      <c r="P951" s="12" t="str">
        <f t="shared" si="1"/>
        <v/>
      </c>
    </row>
    <row r="952">
      <c r="B952" s="12"/>
      <c r="J952" s="12"/>
      <c r="L952" s="21"/>
      <c r="N952" s="12"/>
      <c r="O952" s="12"/>
      <c r="P952" s="12" t="str">
        <f t="shared" si="1"/>
        <v/>
      </c>
    </row>
    <row r="953">
      <c r="B953" s="12"/>
      <c r="J953" s="12"/>
      <c r="L953" s="21"/>
      <c r="N953" s="12"/>
      <c r="O953" s="12"/>
      <c r="P953" s="12" t="str">
        <f t="shared" si="1"/>
        <v/>
      </c>
    </row>
    <row r="954">
      <c r="B954" s="12"/>
      <c r="J954" s="12"/>
      <c r="L954" s="21"/>
      <c r="N954" s="12"/>
      <c r="O954" s="12"/>
      <c r="P954" s="12" t="str">
        <f t="shared" si="1"/>
        <v/>
      </c>
    </row>
    <row r="955">
      <c r="B955" s="12"/>
      <c r="J955" s="12"/>
      <c r="L955" s="21"/>
      <c r="N955" s="12"/>
      <c r="O955" s="12"/>
      <c r="P955" s="12" t="str">
        <f t="shared" si="1"/>
        <v/>
      </c>
    </row>
    <row r="956">
      <c r="B956" s="12"/>
      <c r="J956" s="12"/>
      <c r="L956" s="21"/>
      <c r="N956" s="12"/>
      <c r="O956" s="12"/>
      <c r="P956" s="12" t="str">
        <f t="shared" si="1"/>
        <v/>
      </c>
    </row>
    <row r="957">
      <c r="B957" s="12"/>
      <c r="J957" s="12"/>
      <c r="L957" s="21"/>
      <c r="N957" s="12"/>
      <c r="O957" s="12"/>
      <c r="P957" s="12" t="str">
        <f t="shared" si="1"/>
        <v/>
      </c>
    </row>
    <row r="958">
      <c r="B958" s="12"/>
      <c r="J958" s="12"/>
      <c r="L958" s="21"/>
      <c r="N958" s="12"/>
      <c r="O958" s="12"/>
      <c r="P958" s="12" t="str">
        <f t="shared" si="1"/>
        <v/>
      </c>
    </row>
    <row r="959">
      <c r="B959" s="12"/>
      <c r="J959" s="12"/>
      <c r="L959" s="21"/>
      <c r="N959" s="12"/>
      <c r="O959" s="12"/>
      <c r="P959" s="12" t="str">
        <f t="shared" si="1"/>
        <v/>
      </c>
    </row>
    <row r="960">
      <c r="B960" s="12"/>
      <c r="J960" s="12"/>
      <c r="L960" s="21"/>
      <c r="N960" s="12"/>
      <c r="O960" s="12"/>
      <c r="P960" s="12" t="str">
        <f t="shared" si="1"/>
        <v/>
      </c>
    </row>
    <row r="961">
      <c r="B961" s="12"/>
      <c r="J961" s="12"/>
      <c r="L961" s="21"/>
      <c r="N961" s="12"/>
      <c r="O961" s="12"/>
      <c r="P961" s="12" t="str">
        <f t="shared" si="1"/>
        <v/>
      </c>
    </row>
    <row r="962">
      <c r="B962" s="12"/>
      <c r="J962" s="12"/>
      <c r="L962" s="21"/>
      <c r="N962" s="12"/>
      <c r="O962" s="12"/>
      <c r="P962" s="12" t="str">
        <f t="shared" si="1"/>
        <v/>
      </c>
    </row>
    <row r="963">
      <c r="B963" s="12"/>
      <c r="J963" s="12"/>
      <c r="L963" s="21"/>
      <c r="N963" s="12"/>
      <c r="O963" s="12"/>
      <c r="P963" s="12" t="str">
        <f t="shared" si="1"/>
        <v/>
      </c>
    </row>
    <row r="964">
      <c r="B964" s="12"/>
      <c r="J964" s="12"/>
      <c r="L964" s="21"/>
      <c r="N964" s="12"/>
      <c r="O964" s="12"/>
      <c r="P964" s="12" t="str">
        <f t="shared" si="1"/>
        <v/>
      </c>
    </row>
    <row r="965">
      <c r="B965" s="12"/>
      <c r="J965" s="12"/>
      <c r="L965" s="21"/>
      <c r="N965" s="12"/>
      <c r="O965" s="12"/>
      <c r="P965" s="12" t="str">
        <f t="shared" si="1"/>
        <v/>
      </c>
    </row>
    <row r="966">
      <c r="B966" s="12"/>
      <c r="J966" s="12"/>
      <c r="L966" s="21"/>
      <c r="N966" s="12"/>
      <c r="O966" s="12"/>
      <c r="P966" s="12" t="str">
        <f t="shared" si="1"/>
        <v/>
      </c>
    </row>
    <row r="967">
      <c r="B967" s="12"/>
      <c r="J967" s="12"/>
      <c r="L967" s="21"/>
      <c r="N967" s="12"/>
      <c r="O967" s="12"/>
      <c r="P967" s="12" t="str">
        <f t="shared" si="1"/>
        <v/>
      </c>
    </row>
    <row r="968">
      <c r="B968" s="12"/>
      <c r="J968" s="12"/>
      <c r="L968" s="21"/>
      <c r="N968" s="12"/>
      <c r="O968" s="12"/>
      <c r="P968" s="12" t="str">
        <f t="shared" si="1"/>
        <v/>
      </c>
    </row>
    <row r="969">
      <c r="B969" s="12"/>
      <c r="J969" s="12"/>
      <c r="L969" s="21"/>
      <c r="N969" s="12"/>
      <c r="O969" s="12"/>
      <c r="P969" s="12" t="str">
        <f t="shared" si="1"/>
        <v/>
      </c>
    </row>
    <row r="970">
      <c r="B970" s="12"/>
      <c r="J970" s="12"/>
      <c r="L970" s="21"/>
      <c r="N970" s="12"/>
      <c r="O970" s="12"/>
      <c r="P970" s="12" t="str">
        <f t="shared" si="1"/>
        <v/>
      </c>
    </row>
    <row r="971">
      <c r="B971" s="12"/>
      <c r="J971" s="12"/>
      <c r="L971" s="21"/>
      <c r="N971" s="12"/>
      <c r="O971" s="12"/>
      <c r="P971" s="12" t="str">
        <f t="shared" si="1"/>
        <v/>
      </c>
    </row>
    <row r="972">
      <c r="B972" s="12"/>
      <c r="J972" s="12"/>
      <c r="L972" s="21"/>
      <c r="N972" s="12"/>
      <c r="O972" s="12"/>
      <c r="P972" s="12" t="str">
        <f t="shared" si="1"/>
        <v/>
      </c>
    </row>
    <row r="973">
      <c r="B973" s="12"/>
      <c r="J973" s="12"/>
      <c r="L973" s="21"/>
      <c r="N973" s="12"/>
      <c r="O973" s="12"/>
      <c r="P973" s="12" t="str">
        <f t="shared" si="1"/>
        <v/>
      </c>
    </row>
    <row r="974">
      <c r="B974" s="12"/>
      <c r="J974" s="12"/>
      <c r="L974" s="21"/>
      <c r="N974" s="12"/>
      <c r="O974" s="12"/>
      <c r="P974" s="12" t="str">
        <f t="shared" si="1"/>
        <v/>
      </c>
    </row>
    <row r="975">
      <c r="B975" s="12"/>
      <c r="J975" s="12"/>
      <c r="L975" s="21"/>
      <c r="N975" s="12"/>
      <c r="O975" s="12"/>
      <c r="P975" s="12" t="str">
        <f t="shared" si="1"/>
        <v/>
      </c>
    </row>
    <row r="976">
      <c r="B976" s="12"/>
      <c r="J976" s="12"/>
      <c r="L976" s="21"/>
      <c r="N976" s="12"/>
      <c r="O976" s="12"/>
      <c r="P976" s="12" t="str">
        <f t="shared" si="1"/>
        <v/>
      </c>
    </row>
    <row r="977">
      <c r="B977" s="12"/>
      <c r="J977" s="12"/>
      <c r="L977" s="21"/>
      <c r="N977" s="12"/>
      <c r="O977" s="12"/>
      <c r="P977" s="12" t="str">
        <f t="shared" si="1"/>
        <v/>
      </c>
    </row>
    <row r="978">
      <c r="B978" s="12"/>
      <c r="J978" s="12"/>
      <c r="L978" s="21"/>
      <c r="N978" s="12"/>
      <c r="O978" s="12"/>
      <c r="P978" s="12" t="str">
        <f t="shared" si="1"/>
        <v/>
      </c>
    </row>
    <row r="979">
      <c r="B979" s="12"/>
      <c r="J979" s="12"/>
      <c r="L979" s="21"/>
      <c r="N979" s="12"/>
      <c r="O979" s="12"/>
      <c r="P979" s="12" t="str">
        <f t="shared" si="1"/>
        <v/>
      </c>
    </row>
    <row r="980">
      <c r="B980" s="12"/>
      <c r="J980" s="12"/>
      <c r="L980" s="21"/>
      <c r="N980" s="12"/>
      <c r="O980" s="12"/>
      <c r="P980" s="12" t="str">
        <f t="shared" si="1"/>
        <v/>
      </c>
    </row>
    <row r="981">
      <c r="B981" s="12"/>
      <c r="J981" s="12"/>
      <c r="L981" s="21"/>
      <c r="N981" s="12"/>
      <c r="O981" s="12"/>
      <c r="P981" s="12" t="str">
        <f t="shared" si="1"/>
        <v/>
      </c>
    </row>
    <row r="982">
      <c r="B982" s="12"/>
      <c r="J982" s="12"/>
      <c r="L982" s="21"/>
      <c r="N982" s="12"/>
      <c r="O982" s="12"/>
      <c r="P982" s="12" t="str">
        <f t="shared" si="1"/>
        <v/>
      </c>
    </row>
    <row r="983">
      <c r="B983" s="12"/>
      <c r="J983" s="12"/>
      <c r="L983" s="21"/>
      <c r="N983" s="12"/>
      <c r="O983" s="12"/>
      <c r="P983" s="12" t="str">
        <f t="shared" si="1"/>
        <v/>
      </c>
    </row>
    <row r="984">
      <c r="B984" s="12"/>
      <c r="J984" s="12"/>
      <c r="L984" s="21"/>
      <c r="N984" s="12"/>
      <c r="O984" s="12"/>
      <c r="P984" s="12" t="str">
        <f t="shared" si="1"/>
        <v/>
      </c>
    </row>
    <row r="985">
      <c r="B985" s="12"/>
      <c r="J985" s="12"/>
      <c r="L985" s="21"/>
      <c r="N985" s="12"/>
      <c r="O985" s="12"/>
      <c r="P985" s="12" t="str">
        <f t="shared" si="1"/>
        <v/>
      </c>
    </row>
    <row r="986">
      <c r="B986" s="12"/>
      <c r="J986" s="12"/>
      <c r="L986" s="21"/>
      <c r="N986" s="12"/>
      <c r="O986" s="12"/>
      <c r="P986" s="12" t="str">
        <f t="shared" si="1"/>
        <v/>
      </c>
    </row>
    <row r="987">
      <c r="B987" s="12"/>
      <c r="J987" s="12"/>
      <c r="L987" s="21"/>
      <c r="N987" s="12"/>
      <c r="O987" s="12"/>
      <c r="P987" s="12" t="str">
        <f t="shared" si="1"/>
        <v/>
      </c>
    </row>
    <row r="988">
      <c r="B988" s="12"/>
      <c r="J988" s="12"/>
      <c r="L988" s="21"/>
      <c r="N988" s="12"/>
      <c r="O988" s="12"/>
      <c r="P988" s="12" t="str">
        <f t="shared" si="1"/>
        <v/>
      </c>
    </row>
    <row r="989">
      <c r="B989" s="12"/>
      <c r="J989" s="12"/>
      <c r="L989" s="21"/>
      <c r="N989" s="12"/>
      <c r="O989" s="12"/>
      <c r="P989" s="12" t="str">
        <f t="shared" si="1"/>
        <v/>
      </c>
    </row>
    <row r="990">
      <c r="B990" s="12"/>
      <c r="J990" s="12"/>
      <c r="L990" s="21"/>
      <c r="N990" s="12"/>
      <c r="O990" s="12"/>
      <c r="P990" s="12" t="str">
        <f t="shared" si="1"/>
        <v/>
      </c>
    </row>
    <row r="991">
      <c r="B991" s="12"/>
      <c r="J991" s="12"/>
      <c r="L991" s="21"/>
      <c r="N991" s="12"/>
      <c r="O991" s="12"/>
      <c r="P991" s="12" t="str">
        <f t="shared" si="1"/>
        <v/>
      </c>
    </row>
    <row r="992">
      <c r="B992" s="12"/>
      <c r="J992" s="12"/>
      <c r="L992" s="21"/>
      <c r="N992" s="12"/>
      <c r="O992" s="12"/>
      <c r="P992" s="12" t="str">
        <f t="shared" si="1"/>
        <v/>
      </c>
    </row>
    <row r="993">
      <c r="B993" s="12"/>
      <c r="J993" s="12"/>
      <c r="L993" s="21"/>
      <c r="N993" s="12"/>
      <c r="O993" s="12"/>
      <c r="P993" s="12" t="str">
        <f t="shared" si="1"/>
        <v/>
      </c>
    </row>
    <row r="994">
      <c r="B994" s="12"/>
      <c r="J994" s="12"/>
      <c r="L994" s="21"/>
      <c r="N994" s="12"/>
      <c r="O994" s="12"/>
      <c r="P994" s="12" t="str">
        <f t="shared" si="1"/>
        <v/>
      </c>
    </row>
    <row r="995">
      <c r="B995" s="12"/>
      <c r="J995" s="12"/>
      <c r="L995" s="21"/>
      <c r="N995" s="12"/>
      <c r="O995" s="12"/>
      <c r="P995" s="12" t="str">
        <f t="shared" si="1"/>
        <v/>
      </c>
    </row>
    <row r="996">
      <c r="B996" s="12"/>
      <c r="J996" s="12"/>
      <c r="L996" s="21"/>
      <c r="N996" s="12"/>
      <c r="O996" s="12"/>
      <c r="P996" s="12" t="str">
        <f t="shared" si="1"/>
        <v/>
      </c>
    </row>
    <row r="997">
      <c r="B997" s="12"/>
      <c r="J997" s="12"/>
      <c r="L997" s="21"/>
      <c r="N997" s="12"/>
      <c r="O997" s="12"/>
      <c r="P997" s="12" t="str">
        <f t="shared" si="1"/>
        <v/>
      </c>
    </row>
    <row r="998">
      <c r="B998" s="12"/>
      <c r="J998" s="12"/>
      <c r="L998" s="21"/>
      <c r="N998" s="12"/>
      <c r="O998" s="12"/>
      <c r="P998" s="12" t="str">
        <f t="shared" si="1"/>
        <v/>
      </c>
    </row>
    <row r="999">
      <c r="B999" s="12"/>
      <c r="J999" s="12"/>
      <c r="L999" s="21"/>
      <c r="N999" s="12"/>
      <c r="O999" s="12"/>
      <c r="P999" s="12" t="str">
        <f t="shared" si="1"/>
        <v/>
      </c>
    </row>
    <row r="1000">
      <c r="B1000" s="12"/>
      <c r="J1000" s="12"/>
      <c r="L1000" s="21"/>
      <c r="N1000" s="12"/>
      <c r="O1000" s="12"/>
      <c r="P1000" s="12" t="str">
        <f t="shared" si="1"/>
        <v/>
      </c>
    </row>
    <row r="1001">
      <c r="B1001" s="12"/>
      <c r="J1001" s="12"/>
      <c r="L1001" s="21"/>
      <c r="N1001" s="12"/>
      <c r="O1001" s="12"/>
      <c r="P1001" s="12" t="str">
        <f t="shared" si="1"/>
        <v/>
      </c>
    </row>
    <row r="1002">
      <c r="B1002" s="12"/>
      <c r="J1002" s="12"/>
      <c r="L1002" s="21"/>
      <c r="N1002" s="12"/>
      <c r="O1002" s="12"/>
      <c r="P1002" s="12" t="str">
        <f t="shared" si="1"/>
        <v/>
      </c>
    </row>
    <row r="1003">
      <c r="B1003" s="12"/>
      <c r="J1003" s="12"/>
      <c r="L1003" s="21"/>
      <c r="N1003" s="12"/>
      <c r="O1003" s="12"/>
      <c r="P1003" s="12" t="str">
        <f t="shared" si="1"/>
        <v/>
      </c>
    </row>
    <row r="1004">
      <c r="B1004" s="12"/>
      <c r="J1004" s="12"/>
      <c r="L1004" s="21"/>
      <c r="N1004" s="12"/>
      <c r="O1004" s="12"/>
      <c r="P1004" s="12" t="str">
        <f t="shared" si="1"/>
        <v/>
      </c>
    </row>
    <row r="1005">
      <c r="B1005" s="12"/>
      <c r="J1005" s="12"/>
      <c r="L1005" s="21"/>
      <c r="N1005" s="12"/>
      <c r="O1005" s="12"/>
      <c r="P1005" s="12" t="str">
        <f t="shared" si="1"/>
        <v/>
      </c>
    </row>
    <row r="1006">
      <c r="B1006" s="12"/>
      <c r="J1006" s="12"/>
      <c r="L1006" s="21"/>
      <c r="N1006" s="12"/>
      <c r="O1006" s="12"/>
      <c r="P1006" s="12" t="str">
        <f t="shared" si="1"/>
        <v/>
      </c>
    </row>
    <row r="1007">
      <c r="B1007" s="12"/>
      <c r="J1007" s="12"/>
      <c r="L1007" s="21"/>
      <c r="N1007" s="12"/>
      <c r="O1007" s="12"/>
      <c r="P1007" s="12" t="str">
        <f t="shared" si="1"/>
        <v/>
      </c>
    </row>
    <row r="1008">
      <c r="B1008" s="12"/>
      <c r="J1008" s="12"/>
      <c r="L1008" s="21"/>
      <c r="N1008" s="12"/>
      <c r="O1008" s="12"/>
      <c r="P1008" s="12" t="str">
        <f t="shared" si="1"/>
        <v/>
      </c>
    </row>
    <row r="1009">
      <c r="B1009" s="12"/>
      <c r="J1009" s="12"/>
      <c r="L1009" s="21"/>
      <c r="N1009" s="12"/>
      <c r="O1009" s="12"/>
      <c r="P1009" s="12" t="str">
        <f t="shared" si="1"/>
        <v/>
      </c>
    </row>
    <row r="1010">
      <c r="B1010" s="12"/>
      <c r="J1010" s="12"/>
      <c r="L1010" s="21"/>
      <c r="N1010" s="12"/>
      <c r="O1010" s="12"/>
      <c r="P1010" s="12" t="str">
        <f t="shared" si="1"/>
        <v/>
      </c>
    </row>
    <row r="1011">
      <c r="B1011" s="12"/>
      <c r="J1011" s="12"/>
      <c r="L1011" s="21"/>
      <c r="N1011" s="12"/>
      <c r="O1011" s="12"/>
      <c r="P1011" s="12" t="str">
        <f t="shared" si="1"/>
        <v/>
      </c>
    </row>
    <row r="1012">
      <c r="B1012" s="12"/>
      <c r="J1012" s="12"/>
      <c r="L1012" s="21"/>
      <c r="N1012" s="12"/>
      <c r="O1012" s="12"/>
      <c r="P1012" s="12" t="str">
        <f t="shared" si="1"/>
        <v/>
      </c>
    </row>
    <row r="1013">
      <c r="B1013" s="12"/>
      <c r="J1013" s="12"/>
      <c r="L1013" s="21"/>
      <c r="N1013" s="12"/>
      <c r="O1013" s="12"/>
      <c r="P1013" s="12" t="str">
        <f t="shared" si="1"/>
        <v/>
      </c>
    </row>
    <row r="1014">
      <c r="B1014" s="12"/>
      <c r="J1014" s="12"/>
      <c r="L1014" s="21"/>
      <c r="N1014" s="12"/>
      <c r="O1014" s="12"/>
      <c r="P1014" s="12" t="str">
        <f t="shared" si="1"/>
        <v/>
      </c>
    </row>
    <row r="1015">
      <c r="B1015" s="12"/>
      <c r="J1015" s="12"/>
      <c r="L1015" s="21"/>
      <c r="N1015" s="12"/>
      <c r="O1015" s="12"/>
      <c r="P1015" s="12" t="str">
        <f t="shared" si="1"/>
        <v/>
      </c>
    </row>
    <row r="1016">
      <c r="B1016" s="12"/>
      <c r="J1016" s="12"/>
      <c r="L1016" s="21"/>
      <c r="N1016" s="12"/>
      <c r="O1016" s="12"/>
      <c r="P1016" s="12" t="str">
        <f t="shared" si="1"/>
        <v/>
      </c>
    </row>
    <row r="1017">
      <c r="B1017" s="12"/>
      <c r="J1017" s="12"/>
      <c r="L1017" s="21"/>
      <c r="N1017" s="12"/>
      <c r="O1017" s="12"/>
      <c r="P1017" s="12" t="str">
        <f t="shared" si="1"/>
        <v/>
      </c>
    </row>
    <row r="1018">
      <c r="B1018" s="12"/>
      <c r="J1018" s="12"/>
      <c r="L1018" s="21"/>
      <c r="N1018" s="12"/>
      <c r="O1018" s="12"/>
      <c r="P1018" s="12" t="str">
        <f t="shared" si="1"/>
        <v/>
      </c>
    </row>
    <row r="1019">
      <c r="B1019" s="12"/>
      <c r="J1019" s="12"/>
      <c r="L1019" s="21"/>
      <c r="N1019" s="12"/>
      <c r="O1019" s="12"/>
      <c r="P1019" s="12" t="str">
        <f t="shared" si="1"/>
        <v/>
      </c>
    </row>
    <row r="1020">
      <c r="B1020" s="12"/>
      <c r="J1020" s="12"/>
      <c r="L1020" s="21"/>
      <c r="N1020" s="12"/>
      <c r="O1020" s="12"/>
      <c r="P1020" s="12" t="str">
        <f t="shared" si="1"/>
        <v/>
      </c>
    </row>
    <row r="1021">
      <c r="B1021" s="12"/>
      <c r="J1021" s="12"/>
      <c r="L1021" s="21"/>
      <c r="N1021" s="12"/>
      <c r="O1021" s="12"/>
      <c r="P1021" s="12" t="str">
        <f t="shared" si="1"/>
        <v/>
      </c>
    </row>
    <row r="1022">
      <c r="B1022" s="12"/>
      <c r="J1022" s="12"/>
      <c r="L1022" s="21"/>
      <c r="N1022" s="12"/>
      <c r="O1022" s="12"/>
      <c r="P1022" s="12" t="str">
        <f t="shared" si="1"/>
        <v/>
      </c>
    </row>
    <row r="1023">
      <c r="B1023" s="12"/>
      <c r="J1023" s="12"/>
      <c r="L1023" s="21"/>
      <c r="N1023" s="12"/>
      <c r="O1023" s="12"/>
      <c r="P1023" s="12" t="str">
        <f t="shared" si="1"/>
        <v/>
      </c>
    </row>
    <row r="1024">
      <c r="B1024" s="12"/>
      <c r="J1024" s="12"/>
      <c r="L1024" s="21"/>
      <c r="N1024" s="12"/>
      <c r="O1024" s="12"/>
      <c r="P1024" s="12" t="str">
        <f t="shared" si="1"/>
        <v/>
      </c>
    </row>
    <row r="1025">
      <c r="B1025" s="12"/>
      <c r="J1025" s="12"/>
      <c r="L1025" s="21"/>
      <c r="N1025" s="12"/>
      <c r="O1025" s="12"/>
      <c r="P1025" s="12" t="str">
        <f t="shared" si="1"/>
        <v/>
      </c>
    </row>
    <row r="1026">
      <c r="B1026" s="12"/>
      <c r="J1026" s="12"/>
      <c r="L1026" s="21"/>
      <c r="N1026" s="12"/>
      <c r="O1026" s="12"/>
      <c r="P1026" s="12" t="str">
        <f t="shared" si="1"/>
        <v/>
      </c>
    </row>
    <row r="1027">
      <c r="B1027" s="12"/>
      <c r="J1027" s="12"/>
      <c r="L1027" s="21"/>
      <c r="N1027" s="12"/>
      <c r="O1027" s="12"/>
      <c r="P1027" s="12" t="str">
        <f t="shared" si="1"/>
        <v/>
      </c>
    </row>
    <row r="1028">
      <c r="B1028" s="12"/>
      <c r="J1028" s="12"/>
      <c r="L1028" s="21"/>
      <c r="N1028" s="12"/>
      <c r="O1028" s="12"/>
      <c r="P1028" s="12" t="str">
        <f t="shared" si="1"/>
        <v/>
      </c>
    </row>
    <row r="1029">
      <c r="B1029" s="12"/>
      <c r="J1029" s="12"/>
      <c r="L1029" s="21"/>
      <c r="N1029" s="12"/>
      <c r="O1029" s="12"/>
      <c r="P1029" s="12" t="str">
        <f t="shared" si="1"/>
        <v/>
      </c>
    </row>
    <row r="1030">
      <c r="B1030" s="12"/>
      <c r="J1030" s="12"/>
      <c r="L1030" s="21"/>
      <c r="N1030" s="12"/>
      <c r="O1030" s="12"/>
      <c r="P1030" s="12" t="str">
        <f t="shared" si="1"/>
        <v/>
      </c>
    </row>
    <row r="1031">
      <c r="B1031" s="12"/>
      <c r="J1031" s="12"/>
      <c r="L1031" s="21"/>
      <c r="N1031" s="12"/>
      <c r="O1031" s="12"/>
      <c r="P1031" s="12" t="str">
        <f t="shared" si="1"/>
        <v/>
      </c>
    </row>
    <row r="1032">
      <c r="B1032" s="12"/>
      <c r="J1032" s="12"/>
      <c r="L1032" s="21"/>
      <c r="N1032" s="12"/>
      <c r="O1032" s="12"/>
      <c r="P1032" s="12" t="str">
        <f t="shared" si="1"/>
        <v/>
      </c>
    </row>
    <row r="1033">
      <c r="B1033" s="12"/>
      <c r="J1033" s="12"/>
      <c r="L1033" s="21"/>
      <c r="N1033" s="12"/>
      <c r="O1033" s="12"/>
      <c r="P1033" s="12" t="str">
        <f t="shared" si="1"/>
        <v/>
      </c>
    </row>
    <row r="1034">
      <c r="B1034" s="12"/>
      <c r="J1034" s="12"/>
      <c r="L1034" s="21"/>
      <c r="N1034" s="12"/>
      <c r="O1034" s="12"/>
      <c r="P1034" s="12" t="str">
        <f t="shared" si="1"/>
        <v/>
      </c>
    </row>
    <row r="1035">
      <c r="B1035" s="12"/>
      <c r="J1035" s="12"/>
      <c r="L1035" s="21"/>
      <c r="N1035" s="12"/>
      <c r="O1035" s="12"/>
      <c r="P1035" s="12" t="str">
        <f t="shared" si="1"/>
        <v/>
      </c>
    </row>
    <row r="1036">
      <c r="B1036" s="12"/>
      <c r="J1036" s="12"/>
      <c r="L1036" s="21"/>
      <c r="N1036" s="12"/>
      <c r="O1036" s="12"/>
      <c r="P1036" s="12" t="str">
        <f t="shared" si="1"/>
        <v/>
      </c>
    </row>
    <row r="1037">
      <c r="B1037" s="12"/>
      <c r="J1037" s="12"/>
      <c r="L1037" s="21"/>
      <c r="N1037" s="12"/>
      <c r="O1037" s="12"/>
      <c r="P1037" s="12" t="str">
        <f t="shared" si="1"/>
        <v/>
      </c>
    </row>
    <row r="1038">
      <c r="B1038" s="12"/>
      <c r="J1038" s="12"/>
      <c r="L1038" s="21"/>
      <c r="N1038" s="12"/>
      <c r="O1038" s="12"/>
      <c r="P1038" s="12" t="str">
        <f t="shared" si="1"/>
        <v/>
      </c>
    </row>
    <row r="1039">
      <c r="B1039" s="12"/>
      <c r="J1039" s="12"/>
      <c r="L1039" s="21"/>
      <c r="N1039" s="12"/>
      <c r="O1039" s="12"/>
      <c r="P1039" s="12" t="str">
        <f t="shared" si="1"/>
        <v/>
      </c>
    </row>
    <row r="1040">
      <c r="B1040" s="12"/>
      <c r="J1040" s="12"/>
      <c r="L1040" s="21"/>
      <c r="N1040" s="12"/>
      <c r="O1040" s="12"/>
      <c r="P1040" s="12" t="str">
        <f t="shared" si="1"/>
        <v/>
      </c>
    </row>
    <row r="1041">
      <c r="B1041" s="12"/>
      <c r="J1041" s="12"/>
      <c r="L1041" s="21"/>
      <c r="N1041" s="12"/>
      <c r="O1041" s="12"/>
      <c r="P1041" s="12" t="str">
        <f t="shared" si="1"/>
        <v/>
      </c>
    </row>
    <row r="1042">
      <c r="B1042" s="12"/>
      <c r="J1042" s="12"/>
      <c r="L1042" s="21"/>
      <c r="N1042" s="12"/>
      <c r="O1042" s="12"/>
      <c r="P1042" s="12" t="str">
        <f t="shared" si="1"/>
        <v/>
      </c>
    </row>
    <row r="1043">
      <c r="B1043" s="12"/>
      <c r="J1043" s="12"/>
      <c r="L1043" s="21"/>
      <c r="N1043" s="12"/>
      <c r="O1043" s="12"/>
      <c r="P1043" s="12" t="str">
        <f t="shared" si="1"/>
        <v/>
      </c>
    </row>
    <row r="1044">
      <c r="B1044" s="12"/>
      <c r="J1044" s="12"/>
      <c r="L1044" s="21"/>
      <c r="N1044" s="12"/>
      <c r="O1044" s="12"/>
      <c r="P1044" s="12" t="str">
        <f t="shared" si="1"/>
        <v/>
      </c>
    </row>
    <row r="1045">
      <c r="B1045" s="12"/>
      <c r="J1045" s="12"/>
      <c r="L1045" s="21"/>
      <c r="N1045" s="12"/>
      <c r="O1045" s="12"/>
      <c r="P1045" s="12" t="str">
        <f t="shared" si="1"/>
        <v/>
      </c>
    </row>
    <row r="1046">
      <c r="B1046" s="12"/>
      <c r="J1046" s="12"/>
      <c r="L1046" s="21"/>
      <c r="N1046" s="12"/>
      <c r="O1046" s="12"/>
      <c r="P1046" s="12" t="str">
        <f t="shared" si="1"/>
        <v/>
      </c>
    </row>
    <row r="1047">
      <c r="B1047" s="12"/>
      <c r="J1047" s="12"/>
      <c r="L1047" s="21"/>
      <c r="N1047" s="12"/>
      <c r="O1047" s="12"/>
      <c r="P1047" s="12" t="str">
        <f t="shared" si="1"/>
        <v/>
      </c>
    </row>
    <row r="1048">
      <c r="B1048" s="12"/>
      <c r="J1048" s="12"/>
      <c r="L1048" s="21"/>
      <c r="N1048" s="12"/>
      <c r="O1048" s="12"/>
      <c r="P1048" s="12" t="str">
        <f t="shared" si="1"/>
        <v/>
      </c>
    </row>
    <row r="1049">
      <c r="B1049" s="12"/>
      <c r="J1049" s="12"/>
      <c r="L1049" s="21"/>
      <c r="N1049" s="12"/>
      <c r="O1049" s="12"/>
      <c r="P1049" s="12" t="str">
        <f t="shared" si="1"/>
        <v/>
      </c>
    </row>
    <row r="1050">
      <c r="B1050" s="12"/>
      <c r="J1050" s="12"/>
      <c r="L1050" s="21"/>
      <c r="N1050" s="12"/>
      <c r="O1050" s="12"/>
      <c r="P1050" s="12" t="str">
        <f t="shared" si="1"/>
        <v/>
      </c>
    </row>
    <row r="1051">
      <c r="B1051" s="12"/>
      <c r="J1051" s="12"/>
      <c r="L1051" s="21"/>
      <c r="N1051" s="12"/>
      <c r="O1051" s="12"/>
      <c r="P1051" s="12" t="str">
        <f t="shared" si="1"/>
        <v/>
      </c>
    </row>
    <row r="1052">
      <c r="B1052" s="12"/>
      <c r="J1052" s="12"/>
      <c r="L1052" s="21"/>
      <c r="N1052" s="12"/>
      <c r="O1052" s="12"/>
      <c r="P1052" s="12" t="str">
        <f t="shared" si="1"/>
        <v/>
      </c>
    </row>
    <row r="1053">
      <c r="B1053" s="12"/>
      <c r="J1053" s="12"/>
      <c r="L1053" s="21"/>
      <c r="N1053" s="12"/>
      <c r="O1053" s="12"/>
      <c r="P1053" s="12" t="str">
        <f t="shared" si="1"/>
        <v/>
      </c>
    </row>
    <row r="1054">
      <c r="B1054" s="12"/>
      <c r="J1054" s="12"/>
      <c r="L1054" s="21"/>
      <c r="N1054" s="12"/>
      <c r="O1054" s="12"/>
      <c r="P1054" s="12" t="str">
        <f t="shared" si="1"/>
        <v/>
      </c>
    </row>
    <row r="1055">
      <c r="B1055" s="12"/>
      <c r="J1055" s="12"/>
      <c r="L1055" s="21"/>
      <c r="N1055" s="12"/>
      <c r="O1055" s="12"/>
      <c r="P1055" s="12" t="str">
        <f t="shared" si="1"/>
        <v/>
      </c>
    </row>
    <row r="1056">
      <c r="B1056" s="12"/>
      <c r="J1056" s="12"/>
      <c r="L1056" s="21"/>
      <c r="N1056" s="12"/>
      <c r="O1056" s="12"/>
      <c r="P1056" s="12" t="str">
        <f t="shared" si="1"/>
        <v/>
      </c>
    </row>
    <row r="1057">
      <c r="B1057" s="12"/>
      <c r="J1057" s="12"/>
      <c r="L1057" s="21"/>
      <c r="N1057" s="12"/>
      <c r="O1057" s="12"/>
      <c r="P1057" s="12" t="str">
        <f t="shared" si="1"/>
        <v/>
      </c>
    </row>
    <row r="1058">
      <c r="B1058" s="12"/>
      <c r="J1058" s="12"/>
      <c r="L1058" s="21"/>
      <c r="N1058" s="12"/>
      <c r="O1058" s="12"/>
      <c r="P1058" s="12" t="str">
        <f t="shared" si="1"/>
        <v/>
      </c>
    </row>
    <row r="1059">
      <c r="B1059" s="12"/>
      <c r="J1059" s="12"/>
      <c r="L1059" s="21"/>
      <c r="N1059" s="12"/>
      <c r="O1059" s="12"/>
      <c r="P1059" s="12" t="str">
        <f t="shared" si="1"/>
        <v/>
      </c>
    </row>
    <row r="1060">
      <c r="B1060" s="12"/>
      <c r="J1060" s="12"/>
      <c r="L1060" s="21"/>
      <c r="N1060" s="12"/>
      <c r="O1060" s="12"/>
      <c r="P1060" s="12" t="str">
        <f t="shared" si="1"/>
        <v/>
      </c>
    </row>
    <row r="1061">
      <c r="B1061" s="12"/>
      <c r="J1061" s="12"/>
      <c r="L1061" s="21"/>
      <c r="N1061" s="12"/>
      <c r="O1061" s="12"/>
      <c r="P1061" s="12" t="str">
        <f t="shared" si="1"/>
        <v/>
      </c>
    </row>
    <row r="1062">
      <c r="B1062" s="12"/>
      <c r="J1062" s="12"/>
      <c r="L1062" s="21"/>
      <c r="N1062" s="12"/>
      <c r="O1062" s="12"/>
      <c r="P1062" s="12" t="str">
        <f t="shared" si="1"/>
        <v/>
      </c>
    </row>
    <row r="1063">
      <c r="B1063" s="12"/>
      <c r="J1063" s="12"/>
      <c r="L1063" s="21"/>
      <c r="N1063" s="12"/>
      <c r="O1063" s="12"/>
      <c r="P1063" s="12" t="str">
        <f t="shared" si="1"/>
        <v/>
      </c>
    </row>
    <row r="1064">
      <c r="B1064" s="12"/>
      <c r="J1064" s="12"/>
      <c r="L1064" s="21"/>
      <c r="N1064" s="12"/>
      <c r="O1064" s="12"/>
      <c r="P1064" s="12" t="str">
        <f t="shared" si="1"/>
        <v/>
      </c>
    </row>
    <row r="1065">
      <c r="B1065" s="12"/>
      <c r="J1065" s="12"/>
      <c r="L1065" s="21"/>
      <c r="N1065" s="12"/>
      <c r="O1065" s="12"/>
      <c r="P1065" s="12" t="str">
        <f t="shared" si="1"/>
        <v/>
      </c>
    </row>
    <row r="1066">
      <c r="B1066" s="12"/>
      <c r="J1066" s="12"/>
      <c r="L1066" s="21"/>
      <c r="N1066" s="12"/>
      <c r="O1066" s="12"/>
      <c r="P1066" s="12" t="str">
        <f t="shared" si="1"/>
        <v/>
      </c>
    </row>
    <row r="1067">
      <c r="B1067" s="12"/>
      <c r="J1067" s="12"/>
      <c r="L1067" s="21"/>
      <c r="N1067" s="12"/>
      <c r="O1067" s="12"/>
      <c r="P1067" s="12" t="str">
        <f t="shared" si="1"/>
        <v/>
      </c>
    </row>
    <row r="1068">
      <c r="B1068" s="12"/>
      <c r="J1068" s="12"/>
      <c r="L1068" s="21"/>
      <c r="N1068" s="12"/>
      <c r="O1068" s="12"/>
      <c r="P1068" s="12" t="str">
        <f t="shared" si="1"/>
        <v/>
      </c>
    </row>
    <row r="1069">
      <c r="B1069" s="12"/>
      <c r="J1069" s="12"/>
      <c r="L1069" s="21"/>
      <c r="N1069" s="12"/>
      <c r="O1069" s="12"/>
      <c r="P1069" s="12" t="str">
        <f t="shared" si="1"/>
        <v/>
      </c>
    </row>
    <row r="1070">
      <c r="B1070" s="12"/>
      <c r="J1070" s="12"/>
      <c r="L1070" s="21"/>
      <c r="N1070" s="12"/>
      <c r="O1070" s="12"/>
      <c r="P1070" s="12" t="str">
        <f t="shared" si="1"/>
        <v/>
      </c>
    </row>
    <row r="1071">
      <c r="B1071" s="12"/>
      <c r="J1071" s="12"/>
      <c r="L1071" s="21"/>
      <c r="N1071" s="12"/>
      <c r="O1071" s="12"/>
      <c r="P1071" s="12" t="str">
        <f t="shared" si="1"/>
        <v/>
      </c>
    </row>
    <row r="1072">
      <c r="B1072" s="12"/>
      <c r="J1072" s="12"/>
      <c r="L1072" s="21"/>
      <c r="N1072" s="12"/>
      <c r="O1072" s="12"/>
      <c r="P1072" s="12" t="str">
        <f t="shared" si="1"/>
        <v/>
      </c>
    </row>
    <row r="1073">
      <c r="B1073" s="12"/>
      <c r="J1073" s="12"/>
      <c r="L1073" s="21"/>
      <c r="N1073" s="12"/>
      <c r="O1073" s="12"/>
      <c r="P1073" s="12" t="str">
        <f t="shared" si="1"/>
        <v/>
      </c>
    </row>
    <row r="1074">
      <c r="B1074" s="12"/>
      <c r="J1074" s="12"/>
      <c r="L1074" s="21"/>
      <c r="N1074" s="12"/>
      <c r="O1074" s="12"/>
      <c r="P1074" s="12" t="str">
        <f t="shared" si="1"/>
        <v/>
      </c>
    </row>
    <row r="1075">
      <c r="B1075" s="12"/>
      <c r="J1075" s="12"/>
      <c r="L1075" s="21"/>
      <c r="N1075" s="12"/>
      <c r="O1075" s="12"/>
      <c r="P1075" s="12" t="str">
        <f t="shared" si="1"/>
        <v/>
      </c>
    </row>
    <row r="1076">
      <c r="B1076" s="12"/>
      <c r="J1076" s="12"/>
      <c r="L1076" s="21"/>
      <c r="N1076" s="12"/>
      <c r="O1076" s="12"/>
      <c r="P1076" s="12" t="str">
        <f t="shared" si="1"/>
        <v/>
      </c>
    </row>
    <row r="1077">
      <c r="B1077" s="12"/>
      <c r="J1077" s="12"/>
      <c r="L1077" s="21"/>
      <c r="N1077" s="12"/>
      <c r="O1077" s="12"/>
      <c r="P1077" s="12" t="str">
        <f t="shared" si="1"/>
        <v/>
      </c>
    </row>
    <row r="1078">
      <c r="B1078" s="12"/>
      <c r="J1078" s="12"/>
      <c r="L1078" s="21"/>
      <c r="N1078" s="12"/>
      <c r="O1078" s="12"/>
      <c r="P1078" s="12" t="str">
        <f t="shared" si="1"/>
        <v/>
      </c>
    </row>
    <row r="1079">
      <c r="B1079" s="12"/>
      <c r="J1079" s="12"/>
      <c r="L1079" s="21"/>
      <c r="N1079" s="12"/>
      <c r="O1079" s="12"/>
      <c r="P1079" s="12" t="str">
        <f t="shared" si="1"/>
        <v/>
      </c>
    </row>
    <row r="1080">
      <c r="B1080" s="12"/>
      <c r="J1080" s="12"/>
      <c r="L1080" s="21"/>
      <c r="N1080" s="12"/>
      <c r="O1080" s="12"/>
      <c r="P1080" s="12" t="str">
        <f t="shared" si="1"/>
        <v/>
      </c>
    </row>
    <row r="1081">
      <c r="B1081" s="12"/>
      <c r="J1081" s="12"/>
      <c r="L1081" s="21"/>
      <c r="N1081" s="12"/>
      <c r="O1081" s="12"/>
      <c r="P1081" s="12" t="str">
        <f t="shared" si="1"/>
        <v/>
      </c>
    </row>
    <row r="1082">
      <c r="B1082" s="12"/>
      <c r="J1082" s="12"/>
      <c r="L1082" s="21"/>
      <c r="N1082" s="12"/>
      <c r="O1082" s="12"/>
      <c r="P1082" s="12" t="str">
        <f t="shared" si="1"/>
        <v/>
      </c>
    </row>
    <row r="1083">
      <c r="B1083" s="12"/>
      <c r="J1083" s="12"/>
      <c r="L1083" s="21"/>
      <c r="N1083" s="12"/>
      <c r="O1083" s="12"/>
      <c r="P1083" s="12" t="str">
        <f t="shared" si="1"/>
        <v/>
      </c>
    </row>
    <row r="1084">
      <c r="B1084" s="12"/>
      <c r="J1084" s="12"/>
      <c r="L1084" s="21"/>
      <c r="N1084" s="12"/>
      <c r="O1084" s="12"/>
      <c r="P1084" s="12" t="str">
        <f t="shared" si="1"/>
        <v/>
      </c>
    </row>
    <row r="1085">
      <c r="B1085" s="12"/>
      <c r="J1085" s="12"/>
      <c r="L1085" s="21"/>
      <c r="N1085" s="12"/>
      <c r="O1085" s="12"/>
      <c r="P1085" s="12" t="str">
        <f t="shared" si="1"/>
        <v/>
      </c>
    </row>
    <row r="1086">
      <c r="B1086" s="12"/>
      <c r="J1086" s="12"/>
      <c r="L1086" s="21"/>
      <c r="N1086" s="12"/>
      <c r="O1086" s="12"/>
      <c r="P1086" s="12" t="str">
        <f t="shared" si="1"/>
        <v/>
      </c>
    </row>
    <row r="1087">
      <c r="B1087" s="12"/>
      <c r="J1087" s="12"/>
      <c r="L1087" s="21"/>
      <c r="N1087" s="12"/>
      <c r="O1087" s="12"/>
      <c r="P1087" s="12" t="str">
        <f t="shared" si="1"/>
        <v/>
      </c>
    </row>
    <row r="1088">
      <c r="B1088" s="12"/>
      <c r="J1088" s="12"/>
      <c r="L1088" s="21"/>
      <c r="N1088" s="12"/>
      <c r="O1088" s="12"/>
      <c r="P1088" s="12" t="str">
        <f t="shared" si="1"/>
        <v/>
      </c>
    </row>
    <row r="1089">
      <c r="B1089" s="12"/>
      <c r="J1089" s="12"/>
      <c r="L1089" s="21"/>
      <c r="N1089" s="12"/>
      <c r="O1089" s="12"/>
      <c r="P1089" s="12" t="str">
        <f t="shared" si="1"/>
        <v/>
      </c>
    </row>
    <row r="1090">
      <c r="B1090" s="12"/>
      <c r="J1090" s="12"/>
      <c r="L1090" s="21"/>
      <c r="N1090" s="12"/>
      <c r="O1090" s="12"/>
      <c r="P1090" s="12" t="str">
        <f t="shared" si="1"/>
        <v/>
      </c>
    </row>
    <row r="1091">
      <c r="B1091" s="12"/>
      <c r="J1091" s="12"/>
      <c r="L1091" s="21"/>
      <c r="N1091" s="12"/>
      <c r="O1091" s="12"/>
      <c r="P1091" s="12" t="str">
        <f t="shared" si="1"/>
        <v/>
      </c>
    </row>
    <row r="1092">
      <c r="B1092" s="12"/>
      <c r="J1092" s="12"/>
      <c r="L1092" s="21"/>
      <c r="N1092" s="12"/>
      <c r="O1092" s="12"/>
      <c r="P1092" s="12" t="str">
        <f t="shared" si="1"/>
        <v/>
      </c>
    </row>
    <row r="1093">
      <c r="B1093" s="12"/>
      <c r="J1093" s="12"/>
      <c r="L1093" s="21"/>
      <c r="N1093" s="12"/>
      <c r="O1093" s="12"/>
      <c r="P1093" s="12" t="str">
        <f t="shared" si="1"/>
        <v/>
      </c>
    </row>
    <row r="1094">
      <c r="B1094" s="12"/>
      <c r="J1094" s="12"/>
      <c r="L1094" s="21"/>
      <c r="N1094" s="12"/>
      <c r="O1094" s="12"/>
      <c r="P1094" s="12" t="str">
        <f t="shared" si="1"/>
        <v/>
      </c>
    </row>
    <row r="1095">
      <c r="B1095" s="12"/>
      <c r="J1095" s="12"/>
      <c r="L1095" s="21"/>
      <c r="N1095" s="12"/>
      <c r="O1095" s="12"/>
      <c r="P1095" s="12" t="str">
        <f t="shared" si="1"/>
        <v/>
      </c>
    </row>
    <row r="1096">
      <c r="B1096" s="12"/>
      <c r="J1096" s="12"/>
      <c r="L1096" s="21"/>
      <c r="N1096" s="12"/>
      <c r="O1096" s="12"/>
      <c r="P1096" s="12" t="str">
        <f t="shared" si="1"/>
        <v/>
      </c>
    </row>
    <row r="1097">
      <c r="B1097" s="12"/>
      <c r="J1097" s="12"/>
      <c r="L1097" s="21"/>
      <c r="N1097" s="12"/>
      <c r="O1097" s="12"/>
      <c r="P1097" s="12" t="str">
        <f t="shared" si="1"/>
        <v/>
      </c>
    </row>
    <row r="1098">
      <c r="B1098" s="12"/>
      <c r="J1098" s="12"/>
      <c r="L1098" s="21"/>
      <c r="N1098" s="12"/>
      <c r="O1098" s="12"/>
      <c r="P1098" s="12" t="str">
        <f t="shared" si="1"/>
        <v/>
      </c>
    </row>
    <row r="1099">
      <c r="B1099" s="12"/>
      <c r="J1099" s="12"/>
      <c r="L1099" s="21"/>
      <c r="N1099" s="12"/>
      <c r="O1099" s="12"/>
      <c r="P1099" s="12" t="str">
        <f t="shared" si="1"/>
        <v/>
      </c>
    </row>
    <row r="1100">
      <c r="B1100" s="12"/>
      <c r="J1100" s="12"/>
      <c r="L1100" s="21"/>
      <c r="N1100" s="12"/>
      <c r="O1100" s="12"/>
      <c r="P1100" s="12" t="str">
        <f t="shared" si="1"/>
        <v/>
      </c>
    </row>
    <row r="1101">
      <c r="B1101" s="12"/>
      <c r="J1101" s="12"/>
      <c r="L1101" s="21"/>
      <c r="N1101" s="12"/>
      <c r="O1101" s="12"/>
      <c r="P1101" s="12" t="str">
        <f t="shared" si="1"/>
        <v/>
      </c>
    </row>
    <row r="1102">
      <c r="B1102" s="12"/>
      <c r="J1102" s="12"/>
      <c r="L1102" s="21"/>
      <c r="N1102" s="12"/>
      <c r="O1102" s="12"/>
      <c r="P1102" s="12" t="str">
        <f t="shared" si="1"/>
        <v/>
      </c>
    </row>
    <row r="1103">
      <c r="B1103" s="12"/>
      <c r="J1103" s="12"/>
      <c r="L1103" s="21"/>
      <c r="N1103" s="12"/>
      <c r="O1103" s="12"/>
      <c r="P1103" s="12" t="str">
        <f t="shared" si="1"/>
        <v/>
      </c>
    </row>
    <row r="1104">
      <c r="B1104" s="12"/>
      <c r="J1104" s="12"/>
      <c r="L1104" s="21"/>
      <c r="N1104" s="12"/>
      <c r="O1104" s="12"/>
      <c r="P1104" s="12" t="str">
        <f t="shared" si="1"/>
        <v/>
      </c>
    </row>
    <row r="1105">
      <c r="B1105" s="12"/>
      <c r="J1105" s="12"/>
      <c r="L1105" s="21"/>
      <c r="N1105" s="12"/>
      <c r="O1105" s="12"/>
      <c r="P1105" s="12" t="str">
        <f t="shared" si="1"/>
        <v/>
      </c>
    </row>
    <row r="1106">
      <c r="B1106" s="12"/>
      <c r="J1106" s="12"/>
      <c r="L1106" s="21"/>
      <c r="N1106" s="12"/>
      <c r="O1106" s="12"/>
      <c r="P1106" s="12" t="str">
        <f t="shared" si="1"/>
        <v/>
      </c>
    </row>
    <row r="1107">
      <c r="B1107" s="12"/>
      <c r="J1107" s="12"/>
      <c r="L1107" s="21"/>
      <c r="N1107" s="12"/>
      <c r="O1107" s="12"/>
      <c r="P1107" s="12" t="str">
        <f t="shared" si="1"/>
        <v/>
      </c>
    </row>
    <row r="1108">
      <c r="B1108" s="12"/>
      <c r="J1108" s="12"/>
      <c r="L1108" s="21"/>
      <c r="N1108" s="12"/>
      <c r="O1108" s="12"/>
      <c r="P1108" s="12" t="str">
        <f t="shared" si="1"/>
        <v/>
      </c>
    </row>
    <row r="1109">
      <c r="B1109" s="12"/>
      <c r="J1109" s="12"/>
      <c r="L1109" s="21"/>
      <c r="N1109" s="12"/>
      <c r="O1109" s="12"/>
      <c r="P1109" s="12" t="str">
        <f t="shared" si="1"/>
        <v/>
      </c>
    </row>
    <row r="1110">
      <c r="B1110" s="12"/>
      <c r="J1110" s="12"/>
      <c r="L1110" s="21"/>
      <c r="N1110" s="12"/>
      <c r="O1110" s="12"/>
      <c r="P1110" s="12" t="str">
        <f t="shared" si="1"/>
        <v/>
      </c>
    </row>
    <row r="1111">
      <c r="B1111" s="12"/>
      <c r="J1111" s="12"/>
      <c r="L1111" s="21"/>
      <c r="N1111" s="12"/>
      <c r="O1111" s="12"/>
      <c r="P1111" s="12" t="str">
        <f t="shared" si="1"/>
        <v/>
      </c>
    </row>
    <row r="1112">
      <c r="B1112" s="12"/>
      <c r="J1112" s="12"/>
      <c r="L1112" s="21"/>
      <c r="N1112" s="12"/>
      <c r="O1112" s="12"/>
      <c r="P1112" s="12" t="str">
        <f t="shared" si="1"/>
        <v/>
      </c>
    </row>
    <row r="1113">
      <c r="B1113" s="12"/>
      <c r="J1113" s="12"/>
      <c r="L1113" s="21"/>
      <c r="N1113" s="12"/>
      <c r="O1113" s="12"/>
      <c r="P1113" s="12" t="str">
        <f t="shared" si="1"/>
        <v/>
      </c>
    </row>
    <row r="1114">
      <c r="B1114" s="12"/>
      <c r="J1114" s="12"/>
      <c r="L1114" s="21"/>
      <c r="N1114" s="12"/>
      <c r="O1114" s="12"/>
      <c r="P1114" s="12" t="str">
        <f t="shared" si="1"/>
        <v/>
      </c>
    </row>
    <row r="1115">
      <c r="B1115" s="12"/>
      <c r="J1115" s="12"/>
      <c r="L1115" s="21"/>
      <c r="N1115" s="12"/>
      <c r="O1115" s="12"/>
      <c r="P1115" s="12" t="str">
        <f t="shared" si="1"/>
        <v/>
      </c>
    </row>
    <row r="1116">
      <c r="B1116" s="12"/>
      <c r="J1116" s="12"/>
      <c r="L1116" s="21"/>
      <c r="N1116" s="12"/>
      <c r="O1116" s="12"/>
      <c r="P1116" s="12" t="str">
        <f t="shared" si="1"/>
        <v/>
      </c>
    </row>
    <row r="1117">
      <c r="B1117" s="12"/>
      <c r="J1117" s="12"/>
      <c r="L1117" s="21"/>
      <c r="N1117" s="12"/>
      <c r="O1117" s="12"/>
      <c r="P1117" s="12" t="str">
        <f t="shared" si="1"/>
        <v/>
      </c>
    </row>
    <row r="1118">
      <c r="B1118" s="12"/>
      <c r="J1118" s="12"/>
      <c r="L1118" s="21"/>
      <c r="N1118" s="12"/>
      <c r="O1118" s="12"/>
      <c r="P1118" s="12" t="str">
        <f t="shared" si="1"/>
        <v/>
      </c>
    </row>
    <row r="1119">
      <c r="B1119" s="12"/>
      <c r="J1119" s="12"/>
      <c r="L1119" s="21"/>
      <c r="N1119" s="12"/>
      <c r="O1119" s="12"/>
      <c r="P1119" s="12" t="str">
        <f t="shared" si="1"/>
        <v/>
      </c>
    </row>
    <row r="1120">
      <c r="B1120" s="12"/>
      <c r="J1120" s="12"/>
      <c r="L1120" s="21"/>
      <c r="N1120" s="12"/>
      <c r="O1120" s="12"/>
      <c r="P1120" s="12" t="str">
        <f t="shared" si="1"/>
        <v/>
      </c>
    </row>
    <row r="1121">
      <c r="B1121" s="12"/>
      <c r="J1121" s="12"/>
      <c r="L1121" s="21"/>
      <c r="N1121" s="12"/>
      <c r="O1121" s="12"/>
      <c r="P1121" s="12" t="str">
        <f t="shared" si="1"/>
        <v/>
      </c>
    </row>
    <row r="1122">
      <c r="B1122" s="12"/>
      <c r="J1122" s="12"/>
      <c r="L1122" s="21"/>
      <c r="N1122" s="12"/>
      <c r="O1122" s="12"/>
      <c r="P1122" s="12" t="str">
        <f t="shared" si="1"/>
        <v/>
      </c>
    </row>
    <row r="1123">
      <c r="B1123" s="12"/>
      <c r="J1123" s="12"/>
      <c r="L1123" s="21"/>
      <c r="N1123" s="12"/>
      <c r="O1123" s="12"/>
      <c r="P1123" s="12" t="str">
        <f t="shared" si="1"/>
        <v/>
      </c>
    </row>
    <row r="1124">
      <c r="B1124" s="12"/>
      <c r="J1124" s="12"/>
      <c r="L1124" s="21"/>
      <c r="N1124" s="12"/>
      <c r="O1124" s="12"/>
      <c r="P1124" s="12" t="str">
        <f t="shared" si="1"/>
        <v/>
      </c>
    </row>
    <row r="1125">
      <c r="B1125" s="12"/>
      <c r="J1125" s="12"/>
      <c r="L1125" s="21"/>
      <c r="N1125" s="12"/>
      <c r="O1125" s="12"/>
      <c r="P1125" s="12" t="str">
        <f t="shared" si="1"/>
        <v/>
      </c>
    </row>
    <row r="1126">
      <c r="B1126" s="12"/>
      <c r="J1126" s="12"/>
      <c r="L1126" s="21"/>
      <c r="N1126" s="12"/>
      <c r="O1126" s="12"/>
      <c r="P1126" s="12" t="str">
        <f t="shared" si="1"/>
        <v/>
      </c>
    </row>
    <row r="1127">
      <c r="B1127" s="12"/>
      <c r="J1127" s="12"/>
      <c r="L1127" s="21"/>
      <c r="N1127" s="12"/>
      <c r="O1127" s="12"/>
      <c r="P1127" s="12" t="str">
        <f t="shared" si="1"/>
        <v/>
      </c>
    </row>
    <row r="1128">
      <c r="B1128" s="12"/>
      <c r="J1128" s="12"/>
      <c r="L1128" s="21"/>
      <c r="N1128" s="12"/>
      <c r="O1128" s="12"/>
      <c r="P1128" s="12" t="str">
        <f t="shared" si="1"/>
        <v/>
      </c>
    </row>
    <row r="1129">
      <c r="B1129" s="12"/>
      <c r="J1129" s="12"/>
      <c r="L1129" s="21"/>
      <c r="N1129" s="12"/>
      <c r="O1129" s="12"/>
      <c r="P1129" s="12" t="str">
        <f t="shared" si="1"/>
        <v/>
      </c>
    </row>
    <row r="1130">
      <c r="B1130" s="12"/>
      <c r="J1130" s="12"/>
      <c r="L1130" s="21"/>
      <c r="N1130" s="12"/>
      <c r="O1130" s="12"/>
      <c r="P1130" s="12" t="str">
        <f t="shared" si="1"/>
        <v/>
      </c>
    </row>
    <row r="1131">
      <c r="B1131" s="12"/>
      <c r="J1131" s="12"/>
      <c r="L1131" s="21"/>
      <c r="N1131" s="12"/>
      <c r="O1131" s="12"/>
      <c r="P1131" s="12" t="str">
        <f t="shared" si="1"/>
        <v/>
      </c>
    </row>
    <row r="1132">
      <c r="B1132" s="12"/>
      <c r="J1132" s="12"/>
      <c r="L1132" s="21"/>
      <c r="N1132" s="12"/>
      <c r="O1132" s="12"/>
      <c r="P1132" s="12" t="str">
        <f t="shared" si="1"/>
        <v/>
      </c>
    </row>
    <row r="1133">
      <c r="B1133" s="12"/>
      <c r="J1133" s="12"/>
      <c r="L1133" s="21"/>
      <c r="N1133" s="12"/>
      <c r="O1133" s="12"/>
      <c r="P1133" s="12" t="str">
        <f t="shared" si="1"/>
        <v/>
      </c>
    </row>
    <row r="1134">
      <c r="B1134" s="12"/>
      <c r="J1134" s="12"/>
      <c r="L1134" s="21"/>
      <c r="N1134" s="12"/>
      <c r="O1134" s="12"/>
      <c r="P1134" s="12" t="str">
        <f t="shared" si="1"/>
        <v/>
      </c>
    </row>
    <row r="1135">
      <c r="B1135" s="12"/>
      <c r="J1135" s="12"/>
      <c r="L1135" s="21"/>
      <c r="N1135" s="12"/>
      <c r="O1135" s="12"/>
      <c r="P1135" s="12" t="str">
        <f t="shared" si="1"/>
        <v/>
      </c>
    </row>
    <row r="1136">
      <c r="B1136" s="12"/>
      <c r="J1136" s="12"/>
      <c r="L1136" s="21"/>
      <c r="N1136" s="12"/>
      <c r="O1136" s="12"/>
      <c r="P1136" s="12" t="str">
        <f t="shared" si="1"/>
        <v/>
      </c>
    </row>
    <row r="1137">
      <c r="B1137" s="12"/>
      <c r="J1137" s="12"/>
      <c r="L1137" s="21"/>
      <c r="N1137" s="12"/>
      <c r="O1137" s="12"/>
      <c r="P1137" s="12" t="str">
        <f t="shared" si="1"/>
        <v/>
      </c>
    </row>
  </sheetData>
  <mergeCells count="2">
    <mergeCell ref="A1:C1"/>
    <mergeCell ref="A2:C2"/>
  </mergeCells>
  <conditionalFormatting sqref="A3:Q3">
    <cfRule type="notContainsBlanks" dxfId="0" priority="1">
      <formula>LEN(TRIM(A3))&gt;0</formula>
    </cfRule>
  </conditionalFormatting>
  <conditionalFormatting sqref="P4:P1137">
    <cfRule type="containsText" dxfId="1" priority="2" operator="containsText" text="Igual">
      <formula>NOT(ISERROR(SEARCH(("Igual"),(P4))))</formula>
    </cfRule>
  </conditionalFormatting>
  <conditionalFormatting sqref="P4:P1137">
    <cfRule type="containsText" dxfId="2" priority="3" operator="containsText" text="Diferente">
      <formula>NOT(ISERROR(SEARCH(("Diferente"),(P4))))</formula>
    </cfRule>
  </conditionalFormatting>
  <dataValidations>
    <dataValidation type="list" allowBlank="1" showErrorMessage="1" sqref="N4:O1137">
      <formula1>"Sim,Não,Parcialmente"</formula1>
    </dataValidation>
    <dataValidation type="list" allowBlank="1" showErrorMessage="1" sqref="J4:J1137">
      <formula1>"RQ1,RQ2,RQ3,RQ4,RQ5,RQ6"</formula1>
    </dataValidation>
    <dataValidation type="list" allowBlank="1" showErrorMessage="1" sqref="B4:B1137">
      <formula1>"Conference,Journal"</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 r:id="rId99" ref="E102"/>
    <hyperlink r:id="rId100" ref="E103"/>
    <hyperlink r:id="rId101" ref="E104"/>
    <hyperlink r:id="rId102" ref="E105"/>
    <hyperlink r:id="rId103" ref="E106"/>
    <hyperlink r:id="rId104" ref="E107"/>
    <hyperlink r:id="rId105" ref="E108"/>
    <hyperlink r:id="rId106" ref="E109"/>
    <hyperlink r:id="rId107" ref="E110"/>
    <hyperlink r:id="rId108" ref="E111"/>
    <hyperlink r:id="rId109" ref="E112"/>
    <hyperlink r:id="rId110" ref="E113"/>
    <hyperlink r:id="rId111" ref="E114"/>
    <hyperlink r:id="rId112" ref="E115"/>
    <hyperlink r:id="rId113" ref="E116"/>
    <hyperlink r:id="rId114" ref="E117"/>
    <hyperlink r:id="rId115" ref="E118"/>
    <hyperlink r:id="rId116" ref="E119"/>
    <hyperlink r:id="rId117" ref="E120"/>
    <hyperlink r:id="rId118" ref="E121"/>
    <hyperlink r:id="rId119" ref="E122"/>
    <hyperlink r:id="rId120" ref="E123"/>
    <hyperlink r:id="rId121" ref="E124"/>
    <hyperlink r:id="rId122" ref="E125"/>
    <hyperlink r:id="rId123" ref="E126"/>
    <hyperlink r:id="rId124" ref="E127"/>
    <hyperlink r:id="rId125" ref="E128"/>
    <hyperlink r:id="rId126" ref="E129"/>
    <hyperlink r:id="rId127" ref="E130"/>
    <hyperlink r:id="rId128" ref="E131"/>
    <hyperlink r:id="rId129" ref="E132"/>
    <hyperlink r:id="rId130" ref="E133"/>
    <hyperlink r:id="rId131" ref="E134"/>
    <hyperlink r:id="rId132" ref="E135"/>
    <hyperlink r:id="rId133" ref="E136"/>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3"/>
    <hyperlink r:id="rId151" ref="E154"/>
    <hyperlink r:id="rId152" ref="E155"/>
    <hyperlink r:id="rId153" ref="E156"/>
    <hyperlink r:id="rId154" ref="E157"/>
    <hyperlink r:id="rId155" ref="E158"/>
    <hyperlink r:id="rId156" ref="E159"/>
    <hyperlink r:id="rId157" ref="E160"/>
    <hyperlink r:id="rId158" ref="E161"/>
    <hyperlink r:id="rId159" ref="E162"/>
    <hyperlink r:id="rId160" ref="E163"/>
    <hyperlink r:id="rId161" ref="E164"/>
    <hyperlink r:id="rId162" ref="E165"/>
    <hyperlink r:id="rId163" ref="E166"/>
    <hyperlink r:id="rId164" ref="E167"/>
    <hyperlink r:id="rId165" ref="E168"/>
    <hyperlink r:id="rId166" ref="E169"/>
    <hyperlink r:id="rId167" ref="E170"/>
    <hyperlink r:id="rId168" ref="E171"/>
    <hyperlink r:id="rId169" ref="E172"/>
    <hyperlink r:id="rId170" ref="E173"/>
    <hyperlink r:id="rId171" ref="E174"/>
    <hyperlink r:id="rId172" ref="E175"/>
    <hyperlink r:id="rId173" ref="E176"/>
    <hyperlink r:id="rId174" ref="E177"/>
    <hyperlink r:id="rId175" ref="E178"/>
    <hyperlink r:id="rId176" ref="E179"/>
    <hyperlink r:id="rId177" ref="E180"/>
    <hyperlink r:id="rId178" ref="E181"/>
    <hyperlink r:id="rId179" ref="E182"/>
    <hyperlink r:id="rId180" ref="E183"/>
    <hyperlink r:id="rId181" ref="E184"/>
    <hyperlink r:id="rId182" ref="E185"/>
    <hyperlink r:id="rId183" ref="E186"/>
    <hyperlink r:id="rId184" ref="E187"/>
    <hyperlink r:id="rId185" ref="E188"/>
    <hyperlink r:id="rId186" ref="E189"/>
    <hyperlink r:id="rId187" ref="E190"/>
    <hyperlink r:id="rId188" ref="E191"/>
    <hyperlink r:id="rId189" ref="E192"/>
    <hyperlink r:id="rId190" ref="E193"/>
    <hyperlink r:id="rId191" ref="E194"/>
    <hyperlink r:id="rId192" ref="E195"/>
    <hyperlink r:id="rId193" ref="E196"/>
    <hyperlink r:id="rId194" ref="E197"/>
    <hyperlink r:id="rId195" ref="E198"/>
    <hyperlink r:id="rId196" ref="E199"/>
  </hyperlinks>
  <drawing r:id="rId1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7.38"/>
    <col customWidth="1" min="3" max="3" width="17.88"/>
    <col customWidth="1" min="4" max="4" width="16.38"/>
    <col customWidth="1" min="5" max="5" width="19.38"/>
    <col customWidth="1" min="6" max="6" width="17.88"/>
    <col customWidth="1" min="7" max="7" width="16.13"/>
    <col customWidth="1" min="8" max="8" width="14.63"/>
    <col customWidth="1" min="9" max="9" width="12.13"/>
  </cols>
  <sheetData>
    <row r="1">
      <c r="A1" s="22" t="s">
        <v>776</v>
      </c>
      <c r="B1" s="22" t="s">
        <v>777</v>
      </c>
      <c r="C1" s="22" t="s">
        <v>778</v>
      </c>
      <c r="D1" s="22" t="s">
        <v>779</v>
      </c>
      <c r="E1" s="22" t="s">
        <v>780</v>
      </c>
      <c r="F1" s="22" t="s">
        <v>781</v>
      </c>
      <c r="G1" s="22" t="s">
        <v>782</v>
      </c>
      <c r="H1" s="22" t="s">
        <v>783</v>
      </c>
      <c r="I1" s="22" t="s">
        <v>784</v>
      </c>
    </row>
    <row r="2">
      <c r="B2" s="12">
        <f>COUNTIF('Extração'!J:J,A2)</f>
        <v>0</v>
      </c>
      <c r="C2" s="12" t="str">
        <f>IF(B2=0,"",COUNTIFS('Extração'!N:N,"Sim",'Extração'!J:J,A2)/B2)</f>
        <v/>
      </c>
      <c r="D2" s="12" t="str">
        <f>IF(B2=0,"",COUNTIFS('Extração'!O:O,"Sim",'Extração'!J:J,A2)/B2)</f>
        <v/>
      </c>
      <c r="E2" s="12" t="str">
        <f>IF(B2=0,"",COUNTIFS('Extração'!N:N,"Parcialmente",'Extração'!J:J,A2)/B2)</f>
        <v/>
      </c>
      <c r="F2" s="12" t="str">
        <f>IF(B2=0,"",COUNTIFS('Extração'!O:O,"Parcialmente",'Extração'!J:J,A2)/B2)</f>
        <v/>
      </c>
      <c r="G2" s="12" t="str">
        <f>IF(B2=0,"",COUNTIFS('Extração'!N:N,"Não",'Extração'!J:J,A2)/B2)</f>
        <v/>
      </c>
      <c r="H2" s="12" t="str">
        <f>IF(B2=0,"",COUNTIFS('Extração'!O:O,"Não",'Extração'!J:J,A2)/B2)</f>
        <v/>
      </c>
      <c r="I2" s="12" t="str">
        <f>IF(B2=0,"",COUNTIFS('Extração'!P:P,"Igual",'Extração'!J:J,A2)/B2)</f>
        <v/>
      </c>
    </row>
    <row r="3">
      <c r="B3" s="12">
        <f>COUNTIF('Extração'!J:J,A3)</f>
        <v>0</v>
      </c>
      <c r="C3" s="12" t="str">
        <f>IF(B3=0,"",COUNTIFS('Extração'!N:N,"Sim",'Extração'!J:J,A3)/B3)</f>
        <v/>
      </c>
      <c r="D3" s="12" t="str">
        <f>IF(B3=0,"",COUNTIFS('Extração'!O:O,"Sim",'Extração'!J:J,A3)/B3)</f>
        <v/>
      </c>
      <c r="E3" s="12" t="str">
        <f>IF(B3=0,"",COUNTIFS('Extração'!N:N,"Parcialmente",'Extração'!J:J,A3)/B3)</f>
        <v/>
      </c>
      <c r="F3" s="12" t="str">
        <f>IF(B3=0,"",COUNTIFS('Extração'!O:O,"Parcialmente",'Extração'!J:J,A3)/B3)</f>
        <v/>
      </c>
      <c r="G3" s="12" t="str">
        <f>IF(B3=0,"",COUNTIFS('Extração'!N:N,"Não",'Extração'!J:J,A3)/B3)</f>
        <v/>
      </c>
      <c r="H3" s="12" t="str">
        <f>IF(B3=0,"",COUNTIFS('Extração'!O:O,"Não",'Extração'!J:J,A3)/B3)</f>
        <v/>
      </c>
      <c r="I3" s="12" t="str">
        <f>IF(B3=0,"",COUNTIFS('Extração'!P:P,"Igual",'Extração'!J:J,A3)/B3)</f>
        <v/>
      </c>
    </row>
    <row r="4">
      <c r="B4" s="12">
        <f>COUNTIF('Extração'!J:J,A4)</f>
        <v>0</v>
      </c>
      <c r="C4" s="12" t="str">
        <f>IF(B4=0,"",COUNTIFS('Extração'!N:N,"Sim",'Extração'!J:J,A4)/B4)</f>
        <v/>
      </c>
      <c r="D4" s="12" t="str">
        <f>IF(B4=0,"",COUNTIFS('Extração'!O:O,"Sim",'Extração'!J:J,A4)/B4)</f>
        <v/>
      </c>
      <c r="E4" s="12" t="str">
        <f>IF(B4=0,"",COUNTIFS('Extração'!N:N,"Parcialmente",'Extração'!J:J,A4)/B4)</f>
        <v/>
      </c>
      <c r="F4" s="12" t="str">
        <f>IF(B4=0,"",COUNTIFS('Extração'!O:O,"Parcialmente",'Extração'!J:J,A4)/B4)</f>
        <v/>
      </c>
      <c r="G4" s="12" t="str">
        <f>IF(B4=0,"",COUNTIFS('Extração'!N:N,"Não",'Extração'!J:J,A4)/B4)</f>
        <v/>
      </c>
      <c r="H4" s="12" t="str">
        <f>IF(B4=0,"",COUNTIFS('Extração'!O:O,"Não",'Extração'!J:J,A4)/B4)</f>
        <v/>
      </c>
      <c r="I4" s="12" t="str">
        <f>IF(B4=0,"",COUNTIFS('Extração'!P:P,"Igual",'Extração'!J:J,A4)/B4)</f>
        <v/>
      </c>
    </row>
    <row r="5">
      <c r="B5" s="12">
        <f>COUNTIF('Extração'!J:J,A5)</f>
        <v>0</v>
      </c>
      <c r="C5" s="12" t="str">
        <f>IF(B5=0,"",COUNTIFS('Extração'!N:N,"Sim",'Extração'!J:J,A5)/B5)</f>
        <v/>
      </c>
      <c r="D5" s="12" t="str">
        <f>IF(B5=0,"",COUNTIFS('Extração'!O:O,"Sim",'Extração'!J:J,A5)/B5)</f>
        <v/>
      </c>
      <c r="E5" s="12" t="str">
        <f>IF(B5=0,"",COUNTIFS('Extração'!N:N,"Parcialmente",'Extração'!J:J,A5)/B5)</f>
        <v/>
      </c>
      <c r="F5" s="12" t="str">
        <f>IF(B5=0,"",COUNTIFS('Extração'!O:O,"Parcialmente",'Extração'!J:J,A5)/B5)</f>
        <v/>
      </c>
      <c r="G5" s="12" t="str">
        <f>IF(B5=0,"",COUNTIFS('Extração'!N:N,"Não",'Extração'!J:J,A5)/B5)</f>
        <v/>
      </c>
      <c r="H5" s="12" t="str">
        <f>IF(B5=0,"",COUNTIFS('Extração'!O:O,"Não",'Extração'!J:J,A5)/B5)</f>
        <v/>
      </c>
      <c r="I5" s="12" t="str">
        <f>IF(B5=0,"",COUNTIFS('Extração'!P:P,"Igual",'Extração'!J:J,A5)/B5)</f>
        <v/>
      </c>
    </row>
    <row r="6">
      <c r="B6" s="12">
        <f>COUNTIF('Extração'!J:J,A6)</f>
        <v>0</v>
      </c>
      <c r="C6" s="12" t="str">
        <f>IF(B6=0,"",COUNTIFS('Extração'!N:N,"Sim",'Extração'!J:J,A6)/B6)</f>
        <v/>
      </c>
      <c r="D6" s="12" t="str">
        <f>IF(B6=0,"",COUNTIFS('Extração'!O:O,"Sim",'Extração'!J:J,A6)/B6)</f>
        <v/>
      </c>
      <c r="E6" s="12" t="str">
        <f>IF(B6=0,"",COUNTIFS('Extração'!N:N,"Parcialmente",'Extração'!J:J,A6)/B6)</f>
        <v/>
      </c>
      <c r="F6" s="12" t="str">
        <f>IF(B6=0,"",COUNTIFS('Extração'!O:O,"Parcialmente",'Extração'!J:J,A6)/B6)</f>
        <v/>
      </c>
      <c r="G6" s="12" t="str">
        <f>IF(B6=0,"",COUNTIFS('Extração'!N:N,"Não",'Extração'!J:J,A6)/B6)</f>
        <v/>
      </c>
      <c r="H6" s="12" t="str">
        <f>IF(B6=0,"",COUNTIFS('Extração'!O:O,"Não",'Extração'!J:J,A6)/B6)</f>
        <v/>
      </c>
      <c r="I6" s="12" t="str">
        <f>IF(B6=0,"",COUNTIFS('Extração'!P:P,"Igual",'Extração'!J:J,A6)/B6)</f>
        <v/>
      </c>
    </row>
    <row r="7">
      <c r="B7" s="12">
        <f>COUNTIF('Extração'!J:J,A7)</f>
        <v>0</v>
      </c>
      <c r="C7" s="12" t="str">
        <f>IF(B7=0,"",COUNTIFS('Extração'!N:N,"Sim",'Extração'!J:J,A7)/B7)</f>
        <v/>
      </c>
      <c r="D7" s="12" t="str">
        <f>IF(B7=0,"",COUNTIFS('Extração'!O:O,"Sim",'Extração'!J:J,A7)/B7)</f>
        <v/>
      </c>
      <c r="E7" s="12" t="str">
        <f>IF(B7=0,"",COUNTIFS('Extração'!N:N,"Parcialmente",'Extração'!J:J,A7)/B7)</f>
        <v/>
      </c>
      <c r="F7" s="12" t="str">
        <f>IF(B7=0,"",COUNTIFS('Extração'!O:O,"Parcialmente",'Extração'!J:J,A7)/B7)</f>
        <v/>
      </c>
      <c r="G7" s="12" t="str">
        <f>IF(B7=0,"",COUNTIFS('Extração'!N:N,"Não",'Extração'!J:J,A7)/B7)</f>
        <v/>
      </c>
      <c r="H7" s="12" t="str">
        <f>IF(B7=0,"",COUNTIFS('Extração'!O:O,"Não",'Extração'!J:J,A7)/B7)</f>
        <v/>
      </c>
      <c r="I7" s="12" t="str">
        <f>IF(B7=0,"",COUNTIFS('Extração'!P:P,"Igual",'Extração'!J:J,A7)/B7)</f>
        <v/>
      </c>
    </row>
    <row r="8">
      <c r="B8" s="12">
        <f>COUNTIF('Extração'!J:J,A8)</f>
        <v>0</v>
      </c>
      <c r="C8" s="12" t="str">
        <f>IF(B8=0,"",COUNTIFS('Extração'!N:N,"Sim",'Extração'!J:J,A8)/B8)</f>
        <v/>
      </c>
      <c r="D8" s="12" t="str">
        <f>IF(B8=0,"",COUNTIFS('Extração'!O:O,"Sim",'Extração'!J:J,A8)/B8)</f>
        <v/>
      </c>
      <c r="E8" s="12" t="str">
        <f>IF(B8=0,"",COUNTIFS('Extração'!N:N,"Parcialmente",'Extração'!J:J,A8)/B8)</f>
        <v/>
      </c>
      <c r="F8" s="12" t="str">
        <f>IF(B8=0,"",COUNTIFS('Extração'!O:O,"Parcialmente",'Extração'!J:J,A8)/B8)</f>
        <v/>
      </c>
      <c r="G8" s="12" t="str">
        <f>IF(B8=0,"",COUNTIFS('Extração'!N:N,"Não",'Extração'!J:J,A8)/B8)</f>
        <v/>
      </c>
      <c r="H8" s="12" t="str">
        <f>IF(B8=0,"",COUNTIFS('Extração'!O:O,"Não",'Extração'!J:J,A8)/B8)</f>
        <v/>
      </c>
      <c r="I8" s="12" t="str">
        <f>IF(B8=0,"",COUNTIFS('Extração'!P:P,"Igual",'Extração'!J:J,A8)/B8)</f>
        <v/>
      </c>
    </row>
    <row r="9">
      <c r="B9" s="12">
        <f>COUNTIF('Extração'!J:J,A9)</f>
        <v>0</v>
      </c>
      <c r="C9" s="12" t="str">
        <f>IF(B9=0,"",COUNTIFS('Extração'!N:N,"Sim",'Extração'!J:J,A9)/B9)</f>
        <v/>
      </c>
      <c r="D9" s="12" t="str">
        <f>IF(B9=0,"",COUNTIFS('Extração'!O:O,"Sim",'Extração'!J:J,A9)/B9)</f>
        <v/>
      </c>
      <c r="E9" s="12" t="str">
        <f>IF(B9=0,"",COUNTIFS('Extração'!N:N,"Parcialmente",'Extração'!J:J,A9)/B9)</f>
        <v/>
      </c>
      <c r="F9" s="12" t="str">
        <f>IF(B9=0,"",COUNTIFS('Extração'!O:O,"Parcialmente",'Extração'!J:J,A9)/B9)</f>
        <v/>
      </c>
      <c r="G9" s="12" t="str">
        <f>IF(B9=0,"",COUNTIFS('Extração'!N:N,"Não",'Extração'!J:J,A9)/B9)</f>
        <v/>
      </c>
      <c r="H9" s="12" t="str">
        <f>IF(B9=0,"",COUNTIFS('Extração'!O:O,"Não",'Extração'!J:J,A9)/B9)</f>
        <v/>
      </c>
      <c r="I9" s="12" t="str">
        <f>IF(B9=0,"",COUNTIFS('Extração'!P:P,"Igual",'Extração'!J:J,A9)/B9)</f>
        <v/>
      </c>
    </row>
    <row r="10">
      <c r="B10" s="12">
        <f>COUNTIF('Extração'!J:J,A10)</f>
        <v>0</v>
      </c>
      <c r="C10" s="12" t="str">
        <f>IF(B10=0,"",COUNTIFS('Extração'!N:N,"Sim",'Extração'!J:J,A10)/B10)</f>
        <v/>
      </c>
      <c r="D10" s="12" t="str">
        <f>IF(B10=0,"",COUNTIFS('Extração'!O:O,"Sim",'Extração'!J:J,A10)/B10)</f>
        <v/>
      </c>
      <c r="E10" s="12" t="str">
        <f>IF(B10=0,"",COUNTIFS('Extração'!N:N,"Parcialmente",'Extração'!J:J,A10)/B10)</f>
        <v/>
      </c>
      <c r="F10" s="12" t="str">
        <f>IF(B10=0,"",COUNTIFS('Extração'!O:O,"Parcialmente",'Extração'!J:J,A10)/B10)</f>
        <v/>
      </c>
      <c r="G10" s="12" t="str">
        <f>IF(B10=0,"",COUNTIFS('Extração'!N:N,"Não",'Extração'!J:J,A10)/B10)</f>
        <v/>
      </c>
      <c r="H10" s="12" t="str">
        <f>IF(B10=0,"",COUNTIFS('Extração'!O:O,"Não",'Extração'!J:J,A10)/B10)</f>
        <v/>
      </c>
      <c r="I10" s="12" t="str">
        <f>IF(B10=0,"",COUNTIFS('Extração'!P:P,"Igual",'Extração'!J:J,A10)/B10)</f>
        <v/>
      </c>
    </row>
    <row r="11">
      <c r="B11" s="12">
        <f>COUNTIF('Extração'!J:J,A11)</f>
        <v>0</v>
      </c>
      <c r="C11" s="12" t="str">
        <f>IF(B11=0,"",COUNTIFS('Extração'!N:N,"Sim",'Extração'!J:J,A11)/B11)</f>
        <v/>
      </c>
      <c r="D11" s="12" t="str">
        <f>IF(B11=0,"",COUNTIFS('Extração'!O:O,"Sim",'Extração'!J:J,A11)/B11)</f>
        <v/>
      </c>
      <c r="E11" s="12" t="str">
        <f>IF(B11=0,"",COUNTIFS('Extração'!N:N,"Parcialmente",'Extração'!J:J,A11)/B11)</f>
        <v/>
      </c>
      <c r="F11" s="12" t="str">
        <f>IF(B11=0,"",COUNTIFS('Extração'!O:O,"Parcialmente",'Extração'!J:J,A11)/B11)</f>
        <v/>
      </c>
      <c r="G11" s="12" t="str">
        <f>IF(B11=0,"",COUNTIFS('Extração'!N:N,"Não",'Extração'!J:J,A11)/B11)</f>
        <v/>
      </c>
      <c r="H11" s="12" t="str">
        <f>IF(B11=0,"",COUNTIFS('Extração'!O:O,"Não",'Extração'!J:J,A11)/B11)</f>
        <v/>
      </c>
      <c r="I11" s="12" t="str">
        <f>IF(B11=0,"",COUNTIFS('Extração'!P:P,"Igual",'Extração'!J:J,A11)/B11)</f>
        <v/>
      </c>
    </row>
    <row r="12">
      <c r="B12" s="12">
        <f>COUNTIF('Extração'!J:J,A12)</f>
        <v>0</v>
      </c>
      <c r="C12" s="12" t="str">
        <f>IF(B12=0,"",COUNTIFS('Extração'!N:N,"Sim",'Extração'!J:J,A12)/B12)</f>
        <v/>
      </c>
      <c r="D12" s="12" t="str">
        <f>IF(B12=0,"",COUNTIFS('Extração'!O:O,"Sim",'Extração'!J:J,A12)/B12)</f>
        <v/>
      </c>
      <c r="E12" s="12" t="str">
        <f>IF(B12=0,"",COUNTIFS('Extração'!N:N,"Parcialmente",'Extração'!J:J,A12)/B12)</f>
        <v/>
      </c>
      <c r="F12" s="12" t="str">
        <f>IF(B12=0,"",COUNTIFS('Extração'!O:O,"Parcialmente",'Extração'!J:J,A12)/B12)</f>
        <v/>
      </c>
      <c r="G12" s="12" t="str">
        <f>IF(B12=0,"",COUNTIFS('Extração'!N:N,"Não",'Extração'!J:J,A12)/B12)</f>
        <v/>
      </c>
      <c r="H12" s="12" t="str">
        <f>IF(B12=0,"",COUNTIFS('Extração'!O:O,"Não",'Extração'!J:J,A12)/B12)</f>
        <v/>
      </c>
      <c r="I12" s="12" t="str">
        <f>IF(B12=0,"",COUNTIFS('Extração'!P:P,"Igual",'Extração'!J:J,A12)/B12)</f>
        <v/>
      </c>
    </row>
    <row r="13">
      <c r="B13" s="12">
        <f>COUNTIF('Extração'!J:J,A13)</f>
        <v>0</v>
      </c>
      <c r="C13" s="12" t="str">
        <f>IF(B13=0,"",COUNTIFS('Extração'!N:N,"Sim",'Extração'!J:J,A13)/B13)</f>
        <v/>
      </c>
      <c r="D13" s="12" t="str">
        <f>IF(B13=0,"",COUNTIFS('Extração'!O:O,"Sim",'Extração'!J:J,A13)/B13)</f>
        <v/>
      </c>
      <c r="E13" s="12" t="str">
        <f>IF(B13=0,"",COUNTIFS('Extração'!N:N,"Parcialmente",'Extração'!J:J,A13)/B13)</f>
        <v/>
      </c>
      <c r="F13" s="12" t="str">
        <f>IF(B13=0,"",COUNTIFS('Extração'!O:O,"Parcialmente",'Extração'!J:J,A13)/B13)</f>
        <v/>
      </c>
      <c r="G13" s="12" t="str">
        <f>IF(B13=0,"",COUNTIFS('Extração'!N:N,"Não",'Extração'!J:J,A13)/B13)</f>
        <v/>
      </c>
      <c r="H13" s="12" t="str">
        <f>IF(B13=0,"",COUNTIFS('Extração'!O:O,"Não",'Extração'!J:J,A13)/B13)</f>
        <v/>
      </c>
      <c r="I13" s="12" t="str">
        <f>IF(B13=0,"",COUNTIFS('Extração'!P:P,"Igual",'Extração'!J:J,A13)/B13)</f>
        <v/>
      </c>
    </row>
    <row r="14">
      <c r="B14" s="12">
        <f>COUNTIF('Extração'!J:J,A14)</f>
        <v>0</v>
      </c>
      <c r="C14" s="12" t="str">
        <f>IF(B14=0,"",COUNTIFS('Extração'!N:N,"Sim",'Extração'!J:J,A14)/B14)</f>
        <v/>
      </c>
      <c r="D14" s="12" t="str">
        <f>IF(B14=0,"",COUNTIFS('Extração'!O:O,"Sim",'Extração'!J:J,A14)/B14)</f>
        <v/>
      </c>
      <c r="E14" s="12" t="str">
        <f>IF(B14=0,"",COUNTIFS('Extração'!N:N,"Parcialmente",'Extração'!J:J,A14)/B14)</f>
        <v/>
      </c>
      <c r="F14" s="12" t="str">
        <f>IF(B14=0,"",COUNTIFS('Extração'!O:O,"Parcialmente",'Extração'!J:J,A14)/B14)</f>
        <v/>
      </c>
      <c r="G14" s="12" t="str">
        <f>IF(B14=0,"",COUNTIFS('Extração'!N:N,"Não",'Extração'!J:J,A14)/B14)</f>
        <v/>
      </c>
      <c r="H14" s="12" t="str">
        <f>IF(B14=0,"",COUNTIFS('Extração'!O:O,"Não",'Extração'!J:J,A14)/B14)</f>
        <v/>
      </c>
      <c r="I14" s="12" t="str">
        <f>IF(B14=0,"",COUNTIFS('Extração'!P:P,"Igual",'Extração'!J:J,A14)/B14)</f>
        <v/>
      </c>
    </row>
    <row r="15">
      <c r="B15" s="12">
        <f>COUNTIF('Extração'!J:J,A15)</f>
        <v>0</v>
      </c>
      <c r="C15" s="12" t="str">
        <f>IF(B15=0,"",COUNTIFS('Extração'!N:N,"Sim",'Extração'!J:J,A15)/B15)</f>
        <v/>
      </c>
      <c r="D15" s="12" t="str">
        <f>IF(B15=0,"",COUNTIFS('Extração'!O:O,"Sim",'Extração'!J:J,A15)/B15)</f>
        <v/>
      </c>
      <c r="E15" s="12" t="str">
        <f>IF(B15=0,"",COUNTIFS('Extração'!N:N,"Parcialmente",'Extração'!J:J,A15)/B15)</f>
        <v/>
      </c>
      <c r="F15" s="12" t="str">
        <f>IF(B15=0,"",COUNTIFS('Extração'!O:O,"Parcialmente",'Extração'!J:J,A15)/B15)</f>
        <v/>
      </c>
      <c r="G15" s="12" t="str">
        <f>IF(B15=0,"",COUNTIFS('Extração'!N:N,"Não",'Extração'!J:J,A15)/B15)</f>
        <v/>
      </c>
      <c r="H15" s="12" t="str">
        <f>IF(B15=0,"",COUNTIFS('Extração'!O:O,"Não",'Extração'!J:J,A15)/B15)</f>
        <v/>
      </c>
      <c r="I15" s="12" t="str">
        <f>IF(B15=0,"",COUNTIFS('Extração'!P:P,"Igual",'Extração'!J:J,A15)/B15)</f>
        <v/>
      </c>
    </row>
    <row r="16">
      <c r="B16" s="12">
        <f>COUNTIF('Extração'!J:J,A16)</f>
        <v>0</v>
      </c>
      <c r="C16" s="12" t="str">
        <f>IF(B16=0,"",COUNTIFS('Extração'!N:N,"Sim",'Extração'!J:J,A16)/B16)</f>
        <v/>
      </c>
      <c r="D16" s="12" t="str">
        <f>IF(B16=0,"",COUNTIFS('Extração'!O:O,"Sim",'Extração'!J:J,A16)/B16)</f>
        <v/>
      </c>
      <c r="E16" s="12" t="str">
        <f>IF(B16=0,"",COUNTIFS('Extração'!N:N,"Parcialmente",'Extração'!J:J,A16)/B16)</f>
        <v/>
      </c>
      <c r="F16" s="12" t="str">
        <f>IF(B16=0,"",COUNTIFS('Extração'!O:O,"Parcialmente",'Extração'!J:J,A16)/B16)</f>
        <v/>
      </c>
      <c r="G16" s="12" t="str">
        <f>IF(B16=0,"",COUNTIFS('Extração'!N:N,"Não",'Extração'!J:J,A16)/B16)</f>
        <v/>
      </c>
      <c r="H16" s="12" t="str">
        <f>IF(B16=0,"",COUNTIFS('Extração'!O:O,"Não",'Extração'!J:J,A16)/B16)</f>
        <v/>
      </c>
      <c r="I16" s="12" t="str">
        <f>IF(B16=0,"",COUNTIFS('Extração'!P:P,"Igual",'Extração'!J:J,A16)/B16)</f>
        <v/>
      </c>
    </row>
    <row r="17">
      <c r="B17" s="12">
        <f>COUNTIF('Extração'!J:J,A17)</f>
        <v>0</v>
      </c>
      <c r="C17" s="12" t="str">
        <f>IF(B17=0,"",COUNTIFS('Extração'!N:N,"Sim",'Extração'!J:J,A17)/B17)</f>
        <v/>
      </c>
      <c r="D17" s="12" t="str">
        <f>IF(B17=0,"",COUNTIFS('Extração'!O:O,"Sim",'Extração'!J:J,A17)/B17)</f>
        <v/>
      </c>
      <c r="E17" s="12" t="str">
        <f>IF(B17=0,"",COUNTIFS('Extração'!N:N,"Parcialmente",'Extração'!J:J,A17)/B17)</f>
        <v/>
      </c>
      <c r="F17" s="12" t="str">
        <f>IF(B17=0,"",COUNTIFS('Extração'!O:O,"Parcialmente",'Extração'!J:J,A17)/B17)</f>
        <v/>
      </c>
      <c r="G17" s="12" t="str">
        <f>IF(B17=0,"",COUNTIFS('Extração'!N:N,"Não",'Extração'!J:J,A17)/B17)</f>
        <v/>
      </c>
      <c r="H17" s="12" t="str">
        <f>IF(B17=0,"",COUNTIFS('Extração'!O:O,"Não",'Extração'!J:J,A17)/B17)</f>
        <v/>
      </c>
      <c r="I17" s="12" t="str">
        <f>IF(B17=0,"",COUNTIFS('Extração'!P:P,"Igual",'Extração'!J:J,A17)/B17)</f>
        <v/>
      </c>
    </row>
    <row r="18">
      <c r="B18" s="12">
        <f>COUNTIF('Extração'!J:J,A18)</f>
        <v>0</v>
      </c>
      <c r="C18" s="12" t="str">
        <f>IF(B18=0,"",COUNTIFS('Extração'!N:N,"Sim",'Extração'!J:J,A18)/B18)</f>
        <v/>
      </c>
      <c r="D18" s="12" t="str">
        <f>IF(B18=0,"",COUNTIFS('Extração'!O:O,"Sim",'Extração'!J:J,A18)/B18)</f>
        <v/>
      </c>
      <c r="E18" s="12" t="str">
        <f>IF(B18=0,"",COUNTIFS('Extração'!N:N,"Parcialmente",'Extração'!J:J,A18)/B18)</f>
        <v/>
      </c>
      <c r="F18" s="12" t="str">
        <f>IF(B18=0,"",COUNTIFS('Extração'!O:O,"Parcialmente",'Extração'!J:J,A18)/B18)</f>
        <v/>
      </c>
      <c r="G18" s="12" t="str">
        <f>IF(B18=0,"",COUNTIFS('Extração'!N:N,"Não",'Extração'!J:J,A18)/B18)</f>
        <v/>
      </c>
      <c r="H18" s="12" t="str">
        <f>IF(B18=0,"",COUNTIFS('Extração'!O:O,"Não",'Extração'!J:J,A18)/B18)</f>
        <v/>
      </c>
      <c r="I18" s="12" t="str">
        <f>IF(B18=0,"",COUNTIFS('Extração'!P:P,"Igual",'Extração'!J:J,A18)/B18)</f>
        <v/>
      </c>
    </row>
    <row r="19">
      <c r="B19" s="12">
        <f>COUNTIF('Extração'!J:J,A19)</f>
        <v>0</v>
      </c>
      <c r="C19" s="12" t="str">
        <f>IF(B19=0,"",COUNTIFS('Extração'!N:N,"Sim",'Extração'!J:J,A19)/B19)</f>
        <v/>
      </c>
      <c r="D19" s="12" t="str">
        <f>IF(B19=0,"",COUNTIFS('Extração'!O:O,"Sim",'Extração'!J:J,A19)/B19)</f>
        <v/>
      </c>
      <c r="E19" s="12" t="str">
        <f>IF(B19=0,"",COUNTIFS('Extração'!N:N,"Parcialmente",'Extração'!J:J,A19)/B19)</f>
        <v/>
      </c>
      <c r="F19" s="12" t="str">
        <f>IF(B19=0,"",COUNTIFS('Extração'!O:O,"Parcialmente",'Extração'!J:J,A19)/B19)</f>
        <v/>
      </c>
      <c r="G19" s="12" t="str">
        <f>IF(B19=0,"",COUNTIFS('Extração'!N:N,"Não",'Extração'!J:J,A19)/B19)</f>
        <v/>
      </c>
      <c r="H19" s="12" t="str">
        <f>IF(B19=0,"",COUNTIFS('Extração'!O:O,"Não",'Extração'!J:J,A19)/B19)</f>
        <v/>
      </c>
      <c r="I19" s="12" t="str">
        <f>IF(B19=0,"",COUNTIFS('Extração'!P:P,"Igual",'Extração'!J:J,A19)/B19)</f>
        <v/>
      </c>
    </row>
    <row r="20">
      <c r="B20" s="12">
        <f>COUNTIF('Extração'!J:J,A20)</f>
        <v>0</v>
      </c>
      <c r="C20" s="12" t="str">
        <f>IF(B20=0,"",COUNTIFS('Extração'!N:N,"Sim",'Extração'!J:J,A20)/B20)</f>
        <v/>
      </c>
      <c r="D20" s="12" t="str">
        <f>IF(B20=0,"",COUNTIFS('Extração'!O:O,"Sim",'Extração'!J:J,A20)/B20)</f>
        <v/>
      </c>
      <c r="E20" s="12" t="str">
        <f>IF(B20=0,"",COUNTIFS('Extração'!N:N,"Parcialmente",'Extração'!J:J,A20)/B20)</f>
        <v/>
      </c>
      <c r="F20" s="12" t="str">
        <f>IF(B20=0,"",COUNTIFS('Extração'!O:O,"Parcialmente",'Extração'!J:J,A20)/B20)</f>
        <v/>
      </c>
      <c r="G20" s="12" t="str">
        <f>IF(B20=0,"",COUNTIFS('Extração'!N:N,"Não",'Extração'!J:J,A20)/B20)</f>
        <v/>
      </c>
      <c r="H20" s="12" t="str">
        <f>IF(B20=0,"",COUNTIFS('Extração'!O:O,"Não",'Extração'!J:J,A20)/B20)</f>
        <v/>
      </c>
      <c r="I20" s="12" t="str">
        <f>IF(B20=0,"",COUNTIFS('Extração'!P:P,"Igual",'Extração'!J:J,A20)/B20)</f>
        <v/>
      </c>
    </row>
    <row r="21">
      <c r="B21" s="12">
        <f>COUNTIF('Extração'!J:J,A21)</f>
        <v>0</v>
      </c>
      <c r="C21" s="12" t="str">
        <f>IF(B21=0,"",COUNTIFS('Extração'!N:N,"Sim",'Extração'!J:J,A21)/B21)</f>
        <v/>
      </c>
      <c r="D21" s="12" t="str">
        <f>IF(B21=0,"",COUNTIFS('Extração'!O:O,"Sim",'Extração'!J:J,A21)/B21)</f>
        <v/>
      </c>
      <c r="E21" s="12" t="str">
        <f>IF(B21=0,"",COUNTIFS('Extração'!N:N,"Parcialmente",'Extração'!J:J,A21)/B21)</f>
        <v/>
      </c>
      <c r="F21" s="12" t="str">
        <f>IF(B21=0,"",COUNTIFS('Extração'!O:O,"Parcialmente",'Extração'!J:J,A21)/B21)</f>
        <v/>
      </c>
      <c r="G21" s="12" t="str">
        <f>IF(B21=0,"",COUNTIFS('Extração'!N:N,"Não",'Extração'!J:J,A21)/B21)</f>
        <v/>
      </c>
      <c r="H21" s="12" t="str">
        <f>IF(B21=0,"",COUNTIFS('Extração'!O:O,"Não",'Extração'!J:J,A21)/B21)</f>
        <v/>
      </c>
      <c r="I21" s="12" t="str">
        <f>IF(B21=0,"",COUNTIFS('Extração'!P:P,"Igual",'Extração'!J:J,A21)/B21)</f>
        <v/>
      </c>
    </row>
    <row r="22">
      <c r="B22" s="12">
        <f>COUNTIF('Extração'!J:J,A22)</f>
        <v>0</v>
      </c>
      <c r="C22" s="12" t="str">
        <f>IF(B22=0,"",COUNTIFS('Extração'!N:N,"Sim",'Extração'!J:J,A22)/B22)</f>
        <v/>
      </c>
      <c r="D22" s="12" t="str">
        <f>IF(B22=0,"",COUNTIFS('Extração'!O:O,"Sim",'Extração'!J:J,A22)/B22)</f>
        <v/>
      </c>
      <c r="E22" s="12" t="str">
        <f>IF(B22=0,"",COUNTIFS('Extração'!N:N,"Parcialmente",'Extração'!J:J,A22)/B22)</f>
        <v/>
      </c>
      <c r="F22" s="12" t="str">
        <f>IF(B22=0,"",COUNTIFS('Extração'!O:O,"Parcialmente",'Extração'!J:J,A22)/B22)</f>
        <v/>
      </c>
      <c r="G22" s="12" t="str">
        <f>IF(B22=0,"",COUNTIFS('Extração'!N:N,"Não",'Extração'!J:J,A22)/B22)</f>
        <v/>
      </c>
      <c r="H22" s="12" t="str">
        <f>IF(B22=0,"",COUNTIFS('Extração'!O:O,"Não",'Extração'!J:J,A22)/B22)</f>
        <v/>
      </c>
      <c r="I22" s="12" t="str">
        <f>IF(B22=0,"",COUNTIFS('Extração'!P:P,"Igual",'Extração'!J:J,A22)/B22)</f>
        <v/>
      </c>
    </row>
    <row r="23">
      <c r="B23" s="12">
        <f>COUNTIF('Extração'!J:J,A23)</f>
        <v>0</v>
      </c>
      <c r="C23" s="12" t="str">
        <f>IF(B23=0,"",COUNTIFS('Extração'!N:N,"Sim",'Extração'!J:J,A23)/B23)</f>
        <v/>
      </c>
      <c r="D23" s="12" t="str">
        <f>IF(B23=0,"",COUNTIFS('Extração'!O:O,"Sim",'Extração'!J:J,A23)/B23)</f>
        <v/>
      </c>
      <c r="E23" s="12" t="str">
        <f>IF(B23=0,"",COUNTIFS('Extração'!N:N,"Parcialmente",'Extração'!J:J,A23)/B23)</f>
        <v/>
      </c>
      <c r="F23" s="12" t="str">
        <f>IF(B23=0,"",COUNTIFS('Extração'!O:O,"Parcialmente",'Extração'!J:J,A23)/B23)</f>
        <v/>
      </c>
      <c r="G23" s="12" t="str">
        <f>IF(B23=0,"",COUNTIFS('Extração'!N:N,"Não",'Extração'!J:J,A23)/B23)</f>
        <v/>
      </c>
      <c r="H23" s="12" t="str">
        <f>IF(B23=0,"",COUNTIFS('Extração'!O:O,"Não",'Extração'!J:J,A23)/B23)</f>
        <v/>
      </c>
      <c r="I23" s="12" t="str">
        <f>IF(B23=0,"",COUNTIFS('Extração'!P:P,"Igual",'Extração'!J:J,A23)/B23)</f>
        <v/>
      </c>
    </row>
    <row r="24">
      <c r="B24" s="12">
        <f>COUNTIF('Extração'!J:J,A24)</f>
        <v>0</v>
      </c>
      <c r="C24" s="12" t="str">
        <f>IF(B24=0,"",COUNTIFS('Extração'!N:N,"Sim",'Extração'!J:J,A24)/B24)</f>
        <v/>
      </c>
      <c r="D24" s="12" t="str">
        <f>IF(B24=0,"",COUNTIFS('Extração'!O:O,"Sim",'Extração'!J:J,A24)/B24)</f>
        <v/>
      </c>
      <c r="E24" s="12" t="str">
        <f>IF(B24=0,"",COUNTIFS('Extração'!N:N,"Parcialmente",'Extração'!J:J,A24)/B24)</f>
        <v/>
      </c>
      <c r="F24" s="12" t="str">
        <f>IF(B24=0,"",COUNTIFS('Extração'!O:O,"Parcialmente",'Extração'!J:J,A24)/B24)</f>
        <v/>
      </c>
      <c r="G24" s="12" t="str">
        <f>IF(B24=0,"",COUNTIFS('Extração'!N:N,"Não",'Extração'!J:J,A24)/B24)</f>
        <v/>
      </c>
      <c r="H24" s="12" t="str">
        <f>IF(B24=0,"",COUNTIFS('Extração'!O:O,"Não",'Extração'!J:J,A24)/B24)</f>
        <v/>
      </c>
      <c r="I24" s="12" t="str">
        <f>IF(B24=0,"",COUNTIFS('Extração'!P:P,"Igual",'Extração'!J:J,A24)/B24)</f>
        <v/>
      </c>
    </row>
    <row r="25">
      <c r="B25" s="12">
        <f>COUNTIF('Extração'!J:J,A25)</f>
        <v>0</v>
      </c>
      <c r="C25" s="12" t="str">
        <f>IF(B25=0,"",COUNTIFS('Extração'!N:N,"Sim",'Extração'!J:J,A25)/B25)</f>
        <v/>
      </c>
      <c r="D25" s="12" t="str">
        <f>IF(B25=0,"",COUNTIFS('Extração'!O:O,"Sim",'Extração'!J:J,A25)/B25)</f>
        <v/>
      </c>
      <c r="E25" s="12" t="str">
        <f>IF(B25=0,"",COUNTIFS('Extração'!N:N,"Parcialmente",'Extração'!J:J,A25)/B25)</f>
        <v/>
      </c>
      <c r="F25" s="12" t="str">
        <f>IF(B25=0,"",COUNTIFS('Extração'!O:O,"Parcialmente",'Extração'!J:J,A25)/B25)</f>
        <v/>
      </c>
      <c r="G25" s="12" t="str">
        <f>IF(B25=0,"",COUNTIFS('Extração'!N:N,"Não",'Extração'!J:J,A25)/B25)</f>
        <v/>
      </c>
      <c r="H25" s="12" t="str">
        <f>IF(B25=0,"",COUNTIFS('Extração'!O:O,"Não",'Extração'!J:J,A25)/B25)</f>
        <v/>
      </c>
      <c r="I25" s="12" t="str">
        <f>IF(B25=0,"",COUNTIFS('Extração'!P:P,"Igual",'Extração'!J:J,A25)/B25)</f>
        <v/>
      </c>
    </row>
    <row r="26">
      <c r="B26" s="12">
        <f>COUNTIF('Extração'!J:J,A26)</f>
        <v>0</v>
      </c>
      <c r="C26" s="12" t="str">
        <f>IF(B26=0,"",COUNTIFS('Extração'!N:N,"Sim",'Extração'!J:J,A26)/B26)</f>
        <v/>
      </c>
      <c r="D26" s="12" t="str">
        <f>IF(B26=0,"",COUNTIFS('Extração'!O:O,"Sim",'Extração'!J:J,A26)/B26)</f>
        <v/>
      </c>
      <c r="E26" s="12" t="str">
        <f>IF(B26=0,"",COUNTIFS('Extração'!N:N,"Parcialmente",'Extração'!J:J,A26)/B26)</f>
        <v/>
      </c>
      <c r="F26" s="12" t="str">
        <f>IF(B26=0,"",COUNTIFS('Extração'!O:O,"Parcialmente",'Extração'!J:J,A26)/B26)</f>
        <v/>
      </c>
      <c r="G26" s="12" t="str">
        <f>IF(B26=0,"",COUNTIFS('Extração'!N:N,"Não",'Extração'!J:J,A26)/B26)</f>
        <v/>
      </c>
      <c r="H26" s="12" t="str">
        <f>IF(B26=0,"",COUNTIFS('Extração'!O:O,"Não",'Extração'!J:J,A26)/B26)</f>
        <v/>
      </c>
      <c r="I26" s="12" t="str">
        <f>IF(B26=0,"",COUNTIFS('Extração'!P:P,"Igual",'Extração'!J:J,A26)/B26)</f>
        <v/>
      </c>
    </row>
    <row r="27">
      <c r="B27" s="12">
        <f>COUNTIF('Extração'!J:J,A27)</f>
        <v>0</v>
      </c>
      <c r="C27" s="12" t="str">
        <f>IF(B27=0,"",COUNTIFS('Extração'!N:N,"Sim",'Extração'!J:J,A27)/B27)</f>
        <v/>
      </c>
      <c r="D27" s="12" t="str">
        <f>IF(B27=0,"",COUNTIFS('Extração'!O:O,"Sim",'Extração'!J:J,A27)/B27)</f>
        <v/>
      </c>
      <c r="E27" s="12" t="str">
        <f>IF(B27=0,"",COUNTIFS('Extração'!N:N,"Parcialmente",'Extração'!J:J,A27)/B27)</f>
        <v/>
      </c>
      <c r="F27" s="12" t="str">
        <f>IF(B27=0,"",COUNTIFS('Extração'!O:O,"Parcialmente",'Extração'!J:J,A27)/B27)</f>
        <v/>
      </c>
      <c r="G27" s="12" t="str">
        <f>IF(B27=0,"",COUNTIFS('Extração'!N:N,"Não",'Extração'!J:J,A27)/B27)</f>
        <v/>
      </c>
      <c r="H27" s="12" t="str">
        <f>IF(B27=0,"",COUNTIFS('Extração'!O:O,"Não",'Extração'!J:J,A27)/B27)</f>
        <v/>
      </c>
      <c r="I27" s="12" t="str">
        <f>IF(B27=0,"",COUNTIFS('Extração'!P:P,"Igual",'Extração'!J:J,A27)/B27)</f>
        <v/>
      </c>
    </row>
    <row r="28">
      <c r="B28" s="12">
        <f>COUNTIF('Extração'!J:J,A28)</f>
        <v>0</v>
      </c>
      <c r="C28" s="12" t="str">
        <f>IF(B28=0,"",COUNTIFS('Extração'!N:N,"Sim",'Extração'!J:J,A28)/B28)</f>
        <v/>
      </c>
      <c r="D28" s="12" t="str">
        <f>IF(B28=0,"",COUNTIFS('Extração'!O:O,"Sim",'Extração'!J:J,A28)/B28)</f>
        <v/>
      </c>
      <c r="E28" s="12" t="str">
        <f>IF(B28=0,"",COUNTIFS('Extração'!N:N,"Parcialmente",'Extração'!J:J,A28)/B28)</f>
        <v/>
      </c>
      <c r="F28" s="12" t="str">
        <f>IF(B28=0,"",COUNTIFS('Extração'!O:O,"Parcialmente",'Extração'!J:J,A28)/B28)</f>
        <v/>
      </c>
      <c r="G28" s="12" t="str">
        <f>IF(B28=0,"",COUNTIFS('Extração'!N:N,"Não",'Extração'!J:J,A28)/B28)</f>
        <v/>
      </c>
      <c r="H28" s="12" t="str">
        <f>IF(B28=0,"",COUNTIFS('Extração'!O:O,"Não",'Extração'!J:J,A28)/B28)</f>
        <v/>
      </c>
      <c r="I28" s="12" t="str">
        <f>IF(B28=0,"",COUNTIFS('Extração'!P:P,"Igual",'Extração'!J:J,A28)/B28)</f>
        <v/>
      </c>
    </row>
    <row r="29">
      <c r="B29" s="12">
        <f>COUNTIF('Extração'!J:J,A29)</f>
        <v>0</v>
      </c>
      <c r="C29" s="12" t="str">
        <f>IF(B29=0,"",COUNTIFS('Extração'!N:N,"Sim",'Extração'!J:J,A29)/B29)</f>
        <v/>
      </c>
      <c r="D29" s="12" t="str">
        <f>IF(B29=0,"",COUNTIFS('Extração'!O:O,"Sim",'Extração'!J:J,A29)/B29)</f>
        <v/>
      </c>
      <c r="E29" s="12" t="str">
        <f>IF(B29=0,"",COUNTIFS('Extração'!N:N,"Parcialmente",'Extração'!J:J,A29)/B29)</f>
        <v/>
      </c>
      <c r="F29" s="12" t="str">
        <f>IF(B29=0,"",COUNTIFS('Extração'!O:O,"Parcialmente",'Extração'!J:J,A29)/B29)</f>
        <v/>
      </c>
      <c r="G29" s="12" t="str">
        <f>IF(B29=0,"",COUNTIFS('Extração'!N:N,"Não",'Extração'!J:J,A29)/B29)</f>
        <v/>
      </c>
      <c r="H29" s="12" t="str">
        <f>IF(B29=0,"",COUNTIFS('Extração'!O:O,"Não",'Extração'!J:J,A29)/B29)</f>
        <v/>
      </c>
      <c r="I29" s="12" t="str">
        <f>IF(B29=0,"",COUNTIFS('Extração'!P:P,"Igual",'Extração'!J:J,A29)/B29)</f>
        <v/>
      </c>
    </row>
    <row r="30">
      <c r="B30" s="12">
        <f>COUNTIF('Extração'!J:J,A30)</f>
        <v>0</v>
      </c>
      <c r="C30" s="12" t="str">
        <f>IF(B30=0,"",COUNTIFS('Extração'!N:N,"Sim",'Extração'!J:J,A30)/B30)</f>
        <v/>
      </c>
      <c r="D30" s="12" t="str">
        <f>IF(B30=0,"",COUNTIFS('Extração'!O:O,"Sim",'Extração'!J:J,A30)/B30)</f>
        <v/>
      </c>
      <c r="E30" s="12" t="str">
        <f>IF(B30=0,"",COUNTIFS('Extração'!N:N,"Parcialmente",'Extração'!J:J,A30)/B30)</f>
        <v/>
      </c>
      <c r="F30" s="12" t="str">
        <f>IF(B30=0,"",COUNTIFS('Extração'!O:O,"Parcialmente",'Extração'!J:J,A30)/B30)</f>
        <v/>
      </c>
      <c r="G30" s="12" t="str">
        <f>IF(B30=0,"",COUNTIFS('Extração'!N:N,"Não",'Extração'!J:J,A30)/B30)</f>
        <v/>
      </c>
      <c r="H30" s="12" t="str">
        <f>IF(B30=0,"",COUNTIFS('Extração'!O:O,"Não",'Extração'!J:J,A30)/B30)</f>
        <v/>
      </c>
      <c r="I30" s="12" t="str">
        <f>IF(B30=0,"",COUNTIFS('Extração'!P:P,"Igual",'Extração'!J:J,A30)/B30)</f>
        <v/>
      </c>
    </row>
    <row r="31">
      <c r="B31" s="12">
        <f>COUNTIF('Extração'!J:J,A31)</f>
        <v>0</v>
      </c>
      <c r="C31" s="12" t="str">
        <f>IF(B31=0,"",COUNTIFS('Extração'!N:N,"Sim",'Extração'!J:J,A31)/B31)</f>
        <v/>
      </c>
      <c r="D31" s="12" t="str">
        <f>IF(B31=0,"",COUNTIFS('Extração'!O:O,"Sim",'Extração'!J:J,A31)/B31)</f>
        <v/>
      </c>
      <c r="E31" s="12" t="str">
        <f>IF(B31=0,"",COUNTIFS('Extração'!N:N,"Parcialmente",'Extração'!J:J,A31)/B31)</f>
        <v/>
      </c>
      <c r="F31" s="12" t="str">
        <f>IF(B31=0,"",COUNTIFS('Extração'!O:O,"Parcialmente",'Extração'!J:J,A31)/B31)</f>
        <v/>
      </c>
      <c r="G31" s="12" t="str">
        <f>IF(B31=0,"",COUNTIFS('Extração'!N:N,"Não",'Extração'!J:J,A31)/B31)</f>
        <v/>
      </c>
      <c r="H31" s="12" t="str">
        <f>IF(B31=0,"",COUNTIFS('Extração'!O:O,"Não",'Extração'!J:J,A31)/B31)</f>
        <v/>
      </c>
      <c r="I31" s="12" t="str">
        <f>IF(B31=0,"",COUNTIFS('Extração'!P:P,"Igual",'Extração'!J:J,A31)/B31)</f>
        <v/>
      </c>
    </row>
    <row r="32">
      <c r="B32" s="12">
        <f>COUNTIF('Extração'!J:J,A32)</f>
        <v>0</v>
      </c>
      <c r="C32" s="12" t="str">
        <f>IF(B32=0,"",COUNTIFS('Extração'!N:N,"Sim",'Extração'!J:J,A32)/B32)</f>
        <v/>
      </c>
      <c r="D32" s="12" t="str">
        <f>IF(B32=0,"",COUNTIFS('Extração'!O:O,"Sim",'Extração'!J:J,A32)/B32)</f>
        <v/>
      </c>
      <c r="E32" s="12" t="str">
        <f>IF(B32=0,"",COUNTIFS('Extração'!N:N,"Parcialmente",'Extração'!J:J,A32)/B32)</f>
        <v/>
      </c>
      <c r="F32" s="12" t="str">
        <f>IF(B32=0,"",COUNTIFS('Extração'!O:O,"Parcialmente",'Extração'!J:J,A32)/B32)</f>
        <v/>
      </c>
      <c r="G32" s="12" t="str">
        <f>IF(B32=0,"",COUNTIFS('Extração'!N:N,"Não",'Extração'!J:J,A32)/B32)</f>
        <v/>
      </c>
      <c r="H32" s="12" t="str">
        <f>IF(B32=0,"",COUNTIFS('Extração'!O:O,"Não",'Extração'!J:J,A32)/B32)</f>
        <v/>
      </c>
      <c r="I32" s="12" t="str">
        <f>IF(B32=0,"",COUNTIFS('Extração'!P:P,"Igual",'Extração'!J:J,A32)/B32)</f>
        <v/>
      </c>
    </row>
    <row r="33">
      <c r="B33" s="12">
        <f>COUNTIF('Extração'!J:J,A33)</f>
        <v>0</v>
      </c>
      <c r="C33" s="12" t="str">
        <f>IF(B33=0,"",COUNTIFS('Extração'!N:N,"Sim",'Extração'!J:J,A33)/B33)</f>
        <v/>
      </c>
      <c r="D33" s="12" t="str">
        <f>IF(B33=0,"",COUNTIFS('Extração'!O:O,"Sim",'Extração'!J:J,A33)/B33)</f>
        <v/>
      </c>
      <c r="E33" s="12" t="str">
        <f>IF(B33=0,"",COUNTIFS('Extração'!N:N,"Parcialmente",'Extração'!J:J,A33)/B33)</f>
        <v/>
      </c>
      <c r="F33" s="12" t="str">
        <f>IF(B33=0,"",COUNTIFS('Extração'!O:O,"Parcialmente",'Extração'!J:J,A33)/B33)</f>
        <v/>
      </c>
      <c r="G33" s="12" t="str">
        <f>IF(B33=0,"",COUNTIFS('Extração'!N:N,"Não",'Extração'!J:J,A33)/B33)</f>
        <v/>
      </c>
      <c r="H33" s="12" t="str">
        <f>IF(B33=0,"",COUNTIFS('Extração'!O:O,"Não",'Extração'!J:J,A33)/B33)</f>
        <v/>
      </c>
      <c r="I33" s="12" t="str">
        <f>IF(B33=0,"",COUNTIFS('Extração'!P:P,"Igual",'Extração'!J:J,A33)/B33)</f>
        <v/>
      </c>
    </row>
    <row r="34">
      <c r="B34" s="12">
        <f>COUNTIF('Extração'!J:J,A34)</f>
        <v>0</v>
      </c>
      <c r="C34" s="12" t="str">
        <f>IF(B34=0,"",COUNTIFS('Extração'!N:N,"Sim",'Extração'!J:J,A34)/B34)</f>
        <v/>
      </c>
      <c r="D34" s="12" t="str">
        <f>IF(B34=0,"",COUNTIFS('Extração'!O:O,"Sim",'Extração'!J:J,A34)/B34)</f>
        <v/>
      </c>
      <c r="E34" s="12" t="str">
        <f>IF(B34=0,"",COUNTIFS('Extração'!N:N,"Parcialmente",'Extração'!J:J,A34)/B34)</f>
        <v/>
      </c>
      <c r="F34" s="12" t="str">
        <f>IF(B34=0,"",COUNTIFS('Extração'!O:O,"Parcialmente",'Extração'!J:J,A34)/B34)</f>
        <v/>
      </c>
      <c r="G34" s="12" t="str">
        <f>IF(B34=0,"",COUNTIFS('Extração'!N:N,"Não",'Extração'!J:J,A34)/B34)</f>
        <v/>
      </c>
      <c r="H34" s="12" t="str">
        <f>IF(B34=0,"",COUNTIFS('Extração'!O:O,"Não",'Extração'!J:J,A34)/B34)</f>
        <v/>
      </c>
      <c r="I34" s="12" t="str">
        <f>IF(B34=0,"",COUNTIFS('Extração'!P:P,"Igual",'Extração'!J:J,A34)/B34)</f>
        <v/>
      </c>
    </row>
    <row r="35">
      <c r="B35" s="12">
        <f>COUNTIF('Extração'!J:J,A35)</f>
        <v>0</v>
      </c>
      <c r="C35" s="12" t="str">
        <f>IF(B35=0,"",COUNTIFS('Extração'!N:N,"Sim",'Extração'!J:J,A35)/B35)</f>
        <v/>
      </c>
      <c r="D35" s="12" t="str">
        <f>IF(B35=0,"",COUNTIFS('Extração'!O:O,"Sim",'Extração'!J:J,A35)/B35)</f>
        <v/>
      </c>
      <c r="E35" s="12" t="str">
        <f>IF(B35=0,"",COUNTIFS('Extração'!N:N,"Parcialmente",'Extração'!J:J,A35)/B35)</f>
        <v/>
      </c>
      <c r="F35" s="12" t="str">
        <f>IF(B35=0,"",COUNTIFS('Extração'!O:O,"Parcialmente",'Extração'!J:J,A35)/B35)</f>
        <v/>
      </c>
      <c r="G35" s="12" t="str">
        <f>IF(B35=0,"",COUNTIFS('Extração'!N:N,"Não",'Extração'!J:J,A35)/B35)</f>
        <v/>
      </c>
      <c r="H35" s="12" t="str">
        <f>IF(B35=0,"",COUNTIFS('Extração'!O:O,"Não",'Extração'!J:J,A35)/B35)</f>
        <v/>
      </c>
      <c r="I35" s="12" t="str">
        <f>IF(B35=0,"",COUNTIFS('Extração'!P:P,"Igual",'Extração'!J:J,A35)/B35)</f>
        <v/>
      </c>
    </row>
    <row r="36">
      <c r="B36" s="12">
        <f>COUNTIF('Extração'!J:J,A36)</f>
        <v>0</v>
      </c>
      <c r="C36" s="12" t="str">
        <f>IF(B36=0,"",COUNTIFS('Extração'!N:N,"Sim",'Extração'!J:J,A36)/B36)</f>
        <v/>
      </c>
      <c r="D36" s="12" t="str">
        <f>IF(B36=0,"",COUNTIFS('Extração'!O:O,"Sim",'Extração'!J:J,A36)/B36)</f>
        <v/>
      </c>
      <c r="E36" s="12" t="str">
        <f>IF(B36=0,"",COUNTIFS('Extração'!N:N,"Parcialmente",'Extração'!J:J,A36)/B36)</f>
        <v/>
      </c>
      <c r="F36" s="12" t="str">
        <f>IF(B36=0,"",COUNTIFS('Extração'!O:O,"Parcialmente",'Extração'!J:J,A36)/B36)</f>
        <v/>
      </c>
      <c r="G36" s="12" t="str">
        <f>IF(B36=0,"",COUNTIFS('Extração'!N:N,"Não",'Extração'!J:J,A36)/B36)</f>
        <v/>
      </c>
      <c r="H36" s="12" t="str">
        <f>IF(B36=0,"",COUNTIFS('Extração'!O:O,"Não",'Extração'!J:J,A36)/B36)</f>
        <v/>
      </c>
      <c r="I36" s="12" t="str">
        <f>IF(B36=0,"",COUNTIFS('Extração'!P:P,"Igual",'Extração'!J:J,A36)/B36)</f>
        <v/>
      </c>
    </row>
    <row r="37">
      <c r="B37" s="12">
        <f>COUNTIF('Extração'!J:J,A37)</f>
        <v>0</v>
      </c>
      <c r="C37" s="12" t="str">
        <f>IF(B37=0,"",COUNTIFS('Extração'!N:N,"Sim",'Extração'!J:J,A37)/B37)</f>
        <v/>
      </c>
      <c r="D37" s="12" t="str">
        <f>IF(B37=0,"",COUNTIFS('Extração'!O:O,"Sim",'Extração'!J:J,A37)/B37)</f>
        <v/>
      </c>
      <c r="E37" s="12" t="str">
        <f>IF(B37=0,"",COUNTIFS('Extração'!N:N,"Parcialmente",'Extração'!J:J,A37)/B37)</f>
        <v/>
      </c>
      <c r="F37" s="12" t="str">
        <f>IF(B37=0,"",COUNTIFS('Extração'!O:O,"Parcialmente",'Extração'!J:J,A37)/B37)</f>
        <v/>
      </c>
      <c r="G37" s="12" t="str">
        <f>IF(B37=0,"",COUNTIFS('Extração'!N:N,"Não",'Extração'!J:J,A37)/B37)</f>
        <v/>
      </c>
      <c r="H37" s="12" t="str">
        <f>IF(B37=0,"",COUNTIFS('Extração'!O:O,"Não",'Extração'!J:J,A37)/B37)</f>
        <v/>
      </c>
      <c r="I37" s="12" t="str">
        <f>IF(B37=0,"",COUNTIFS('Extração'!P:P,"Igual",'Extração'!J:J,A37)/B37)</f>
        <v/>
      </c>
    </row>
    <row r="38">
      <c r="B38" s="12">
        <f>COUNTIF('Extração'!J:J,A38)</f>
        <v>0</v>
      </c>
      <c r="C38" s="12" t="str">
        <f>IF(B38=0,"",COUNTIFS('Extração'!N:N,"Sim",'Extração'!J:J,A38)/B38)</f>
        <v/>
      </c>
      <c r="D38" s="12" t="str">
        <f>IF(B38=0,"",COUNTIFS('Extração'!O:O,"Sim",'Extração'!J:J,A38)/B38)</f>
        <v/>
      </c>
      <c r="E38" s="12" t="str">
        <f>IF(B38=0,"",COUNTIFS('Extração'!N:N,"Parcialmente",'Extração'!J:J,A38)/B38)</f>
        <v/>
      </c>
      <c r="F38" s="12" t="str">
        <f>IF(B38=0,"",COUNTIFS('Extração'!O:O,"Parcialmente",'Extração'!J:J,A38)/B38)</f>
        <v/>
      </c>
      <c r="G38" s="12" t="str">
        <f>IF(B38=0,"",COUNTIFS('Extração'!N:N,"Não",'Extração'!J:J,A38)/B38)</f>
        <v/>
      </c>
      <c r="H38" s="12" t="str">
        <f>IF(B38=0,"",COUNTIFS('Extração'!O:O,"Não",'Extração'!J:J,A38)/B38)</f>
        <v/>
      </c>
      <c r="I38" s="12" t="str">
        <f>IF(B38=0,"",COUNTIFS('Extração'!P:P,"Igual",'Extração'!J:J,A38)/B38)</f>
        <v/>
      </c>
    </row>
    <row r="39">
      <c r="B39" s="12">
        <f>COUNTIF('Extração'!J:J,A39)</f>
        <v>0</v>
      </c>
      <c r="C39" s="12" t="str">
        <f>IF(B39=0,"",COUNTIFS('Extração'!N:N,"Sim",'Extração'!J:J,A39)/B39)</f>
        <v/>
      </c>
      <c r="D39" s="12" t="str">
        <f>IF(B39=0,"",COUNTIFS('Extração'!O:O,"Sim",'Extração'!J:J,A39)/B39)</f>
        <v/>
      </c>
      <c r="E39" s="12" t="str">
        <f>IF(B39=0,"",COUNTIFS('Extração'!N:N,"Parcialmente",'Extração'!J:J,A39)/B39)</f>
        <v/>
      </c>
      <c r="F39" s="12" t="str">
        <f>IF(B39=0,"",COUNTIFS('Extração'!O:O,"Parcialmente",'Extração'!J:J,A39)/B39)</f>
        <v/>
      </c>
      <c r="G39" s="12" t="str">
        <f>IF(B39=0,"",COUNTIFS('Extração'!N:N,"Não",'Extração'!J:J,A39)/B39)</f>
        <v/>
      </c>
      <c r="H39" s="12" t="str">
        <f>IF(B39=0,"",COUNTIFS('Extração'!O:O,"Não",'Extração'!J:J,A39)/B39)</f>
        <v/>
      </c>
      <c r="I39" s="12" t="str">
        <f>IF(B39=0,"",COUNTIFS('Extração'!P:P,"Igual",'Extração'!J:J,A39)/B39)</f>
        <v/>
      </c>
    </row>
    <row r="40">
      <c r="B40" s="12">
        <f>COUNTIF('Extração'!J:J,A40)</f>
        <v>0</v>
      </c>
      <c r="C40" s="12" t="str">
        <f>IF(B40=0,"",COUNTIFS('Extração'!N:N,"Sim",'Extração'!J:J,A40)/B40)</f>
        <v/>
      </c>
      <c r="D40" s="12" t="str">
        <f>IF(B40=0,"",COUNTIFS('Extração'!O:O,"Sim",'Extração'!J:J,A40)/B40)</f>
        <v/>
      </c>
      <c r="E40" s="12" t="str">
        <f>IF(B40=0,"",COUNTIFS('Extração'!N:N,"Parcialmente",'Extração'!J:J,A40)/B40)</f>
        <v/>
      </c>
      <c r="F40" s="12" t="str">
        <f>IF(B40=0,"",COUNTIFS('Extração'!O:O,"Parcialmente",'Extração'!J:J,A40)/B40)</f>
        <v/>
      </c>
      <c r="G40" s="12" t="str">
        <f>IF(B40=0,"",COUNTIFS('Extração'!N:N,"Não",'Extração'!J:J,A40)/B40)</f>
        <v/>
      </c>
      <c r="H40" s="12" t="str">
        <f>IF(B40=0,"",COUNTIFS('Extração'!O:O,"Não",'Extração'!J:J,A40)/B40)</f>
        <v/>
      </c>
      <c r="I40" s="12" t="str">
        <f>IF(B40=0,"",COUNTIFS('Extração'!P:P,"Igual",'Extração'!J:J,A40)/B40)</f>
        <v/>
      </c>
    </row>
    <row r="41">
      <c r="B41" s="12">
        <f>COUNTIF('Extração'!J:J,A41)</f>
        <v>0</v>
      </c>
      <c r="C41" s="12" t="str">
        <f>IF(B41=0,"",COUNTIFS('Extração'!N:N,"Sim",'Extração'!J:J,A41)/B41)</f>
        <v/>
      </c>
      <c r="D41" s="12" t="str">
        <f>IF(B41=0,"",COUNTIFS('Extração'!O:O,"Sim",'Extração'!J:J,A41)/B41)</f>
        <v/>
      </c>
      <c r="E41" s="12" t="str">
        <f>IF(B41=0,"",COUNTIFS('Extração'!N:N,"Parcialmente",'Extração'!J:J,A41)/B41)</f>
        <v/>
      </c>
      <c r="F41" s="12" t="str">
        <f>IF(B41=0,"",COUNTIFS('Extração'!O:O,"Parcialmente",'Extração'!J:J,A41)/B41)</f>
        <v/>
      </c>
      <c r="G41" s="12" t="str">
        <f>IF(B41=0,"",COUNTIFS('Extração'!N:N,"Não",'Extração'!J:J,A41)/B41)</f>
        <v/>
      </c>
      <c r="H41" s="12" t="str">
        <f>IF(B41=0,"",COUNTIFS('Extração'!O:O,"Não",'Extração'!J:J,A41)/B41)</f>
        <v/>
      </c>
      <c r="I41" s="12" t="str">
        <f>IF(B41=0,"",COUNTIFS('Extração'!P:P,"Igual",'Extração'!J:J,A41)/B41)</f>
        <v/>
      </c>
    </row>
    <row r="42">
      <c r="B42" s="12">
        <f>COUNTIF('Extração'!J:J,A42)</f>
        <v>0</v>
      </c>
      <c r="C42" s="12" t="str">
        <f>IF(B42=0,"",COUNTIFS('Extração'!N:N,"Sim",'Extração'!J:J,A42)/B42)</f>
        <v/>
      </c>
      <c r="D42" s="12" t="str">
        <f>IF(B42=0,"",COUNTIFS('Extração'!O:O,"Sim",'Extração'!J:J,A42)/B42)</f>
        <v/>
      </c>
      <c r="E42" s="12" t="str">
        <f>IF(B42=0,"",COUNTIFS('Extração'!N:N,"Parcialmente",'Extração'!J:J,A42)/B42)</f>
        <v/>
      </c>
      <c r="F42" s="12" t="str">
        <f>IF(B42=0,"",COUNTIFS('Extração'!O:O,"Parcialmente",'Extração'!J:J,A42)/B42)</f>
        <v/>
      </c>
      <c r="G42" s="12" t="str">
        <f>IF(B42=0,"",COUNTIFS('Extração'!N:N,"Não",'Extração'!J:J,A42)/B42)</f>
        <v/>
      </c>
      <c r="H42" s="12" t="str">
        <f>IF(B42=0,"",COUNTIFS('Extração'!O:O,"Não",'Extração'!J:J,A42)/B42)</f>
        <v/>
      </c>
      <c r="I42" s="12" t="str">
        <f>IF(B42=0,"",COUNTIFS('Extração'!P:P,"Igual",'Extração'!J:J,A42)/B42)</f>
        <v/>
      </c>
    </row>
    <row r="43">
      <c r="B43" s="12">
        <f>COUNTIF('Extração'!J:J,A43)</f>
        <v>0</v>
      </c>
      <c r="C43" s="12" t="str">
        <f>IF(B43=0,"",COUNTIFS('Extração'!N:N,"Sim",'Extração'!J:J,A43)/B43)</f>
        <v/>
      </c>
      <c r="D43" s="12" t="str">
        <f>IF(B43=0,"",COUNTIFS('Extração'!O:O,"Sim",'Extração'!J:J,A43)/B43)</f>
        <v/>
      </c>
      <c r="E43" s="12" t="str">
        <f>IF(B43=0,"",COUNTIFS('Extração'!N:N,"Parcialmente",'Extração'!J:J,A43)/B43)</f>
        <v/>
      </c>
      <c r="F43" s="12" t="str">
        <f>IF(B43=0,"",COUNTIFS('Extração'!O:O,"Parcialmente",'Extração'!J:J,A43)/B43)</f>
        <v/>
      </c>
      <c r="G43" s="12" t="str">
        <f>IF(B43=0,"",COUNTIFS('Extração'!N:N,"Não",'Extração'!J:J,A43)/B43)</f>
        <v/>
      </c>
      <c r="H43" s="12" t="str">
        <f>IF(B43=0,"",COUNTIFS('Extração'!O:O,"Não",'Extração'!J:J,A43)/B43)</f>
        <v/>
      </c>
      <c r="I43" s="12" t="str">
        <f>IF(B43=0,"",COUNTIFS('Extração'!P:P,"Igual",'Extração'!J:J,A43)/B43)</f>
        <v/>
      </c>
    </row>
    <row r="44">
      <c r="B44" s="12">
        <f>COUNTIF('Extração'!J:J,A44)</f>
        <v>0</v>
      </c>
      <c r="C44" s="12" t="str">
        <f>IF(B44=0,"",COUNTIFS('Extração'!N:N,"Sim",'Extração'!J:J,A44)/B44)</f>
        <v/>
      </c>
      <c r="D44" s="12" t="str">
        <f>IF(B44=0,"",COUNTIFS('Extração'!O:O,"Sim",'Extração'!J:J,A44)/B44)</f>
        <v/>
      </c>
      <c r="E44" s="12" t="str">
        <f>IF(B44=0,"",COUNTIFS('Extração'!N:N,"Parcialmente",'Extração'!J:J,A44)/B44)</f>
        <v/>
      </c>
      <c r="F44" s="12" t="str">
        <f>IF(B44=0,"",COUNTIFS('Extração'!O:O,"Parcialmente",'Extração'!J:J,A44)/B44)</f>
        <v/>
      </c>
      <c r="G44" s="12" t="str">
        <f>IF(B44=0,"",COUNTIFS('Extração'!N:N,"Não",'Extração'!J:J,A44)/B44)</f>
        <v/>
      </c>
      <c r="H44" s="12" t="str">
        <f>IF(B44=0,"",COUNTIFS('Extração'!O:O,"Não",'Extração'!J:J,A44)/B44)</f>
        <v/>
      </c>
      <c r="I44" s="12" t="str">
        <f>IF(B44=0,"",COUNTIFS('Extração'!P:P,"Igual",'Extração'!J:J,A44)/B44)</f>
        <v/>
      </c>
    </row>
    <row r="45">
      <c r="B45" s="12">
        <f>COUNTIF('Extração'!J:J,A45)</f>
        <v>0</v>
      </c>
      <c r="C45" s="12" t="str">
        <f>IF(B45=0,"",COUNTIFS('Extração'!N:N,"Sim",'Extração'!J:J,A45)/B45)</f>
        <v/>
      </c>
      <c r="D45" s="12" t="str">
        <f>IF(B45=0,"",COUNTIFS('Extração'!O:O,"Sim",'Extração'!J:J,A45)/B45)</f>
        <v/>
      </c>
      <c r="E45" s="12" t="str">
        <f>IF(B45=0,"",COUNTIFS('Extração'!N:N,"Parcialmente",'Extração'!J:J,A45)/B45)</f>
        <v/>
      </c>
      <c r="F45" s="12" t="str">
        <f>IF(B45=0,"",COUNTIFS('Extração'!O:O,"Parcialmente",'Extração'!J:J,A45)/B45)</f>
        <v/>
      </c>
      <c r="G45" s="12" t="str">
        <f>IF(B45=0,"",COUNTIFS('Extração'!N:N,"Não",'Extração'!J:J,A45)/B45)</f>
        <v/>
      </c>
      <c r="H45" s="12" t="str">
        <f>IF(B45=0,"",COUNTIFS('Extração'!O:O,"Não",'Extração'!J:J,A45)/B45)</f>
        <v/>
      </c>
      <c r="I45" s="12" t="str">
        <f>IF(B45=0,"",COUNTIFS('Extração'!P:P,"Igual",'Extração'!J:J,A45)/B45)</f>
        <v/>
      </c>
    </row>
    <row r="46">
      <c r="B46" s="12">
        <f>COUNTIF('Extração'!J:J,A46)</f>
        <v>0</v>
      </c>
      <c r="C46" s="12" t="str">
        <f>IF(B46=0,"",COUNTIFS('Extração'!N:N,"Sim",'Extração'!J:J,A46)/B46)</f>
        <v/>
      </c>
      <c r="D46" s="12" t="str">
        <f>IF(B46=0,"",COUNTIFS('Extração'!O:O,"Sim",'Extração'!J:J,A46)/B46)</f>
        <v/>
      </c>
      <c r="E46" s="12" t="str">
        <f>IF(B46=0,"",COUNTIFS('Extração'!N:N,"Parcialmente",'Extração'!J:J,A46)/B46)</f>
        <v/>
      </c>
      <c r="F46" s="12" t="str">
        <f>IF(B46=0,"",COUNTIFS('Extração'!O:O,"Parcialmente",'Extração'!J:J,A46)/B46)</f>
        <v/>
      </c>
      <c r="G46" s="12" t="str">
        <f>IF(B46=0,"",COUNTIFS('Extração'!N:N,"Não",'Extração'!J:J,A46)/B46)</f>
        <v/>
      </c>
      <c r="H46" s="12" t="str">
        <f>IF(B46=0,"",COUNTIFS('Extração'!O:O,"Não",'Extração'!J:J,A46)/B46)</f>
        <v/>
      </c>
      <c r="I46" s="12" t="str">
        <f>IF(B46=0,"",COUNTIFS('Extração'!P:P,"Igual",'Extração'!J:J,A46)/B46)</f>
        <v/>
      </c>
    </row>
    <row r="47">
      <c r="B47" s="12">
        <f>COUNTIF('Extração'!J:J,A47)</f>
        <v>0</v>
      </c>
      <c r="C47" s="12" t="str">
        <f>IF(B47=0,"",COUNTIFS('Extração'!N:N,"Sim",'Extração'!J:J,A47)/B47)</f>
        <v/>
      </c>
      <c r="D47" s="12" t="str">
        <f>IF(B47=0,"",COUNTIFS('Extração'!O:O,"Sim",'Extração'!J:J,A47)/B47)</f>
        <v/>
      </c>
      <c r="E47" s="12" t="str">
        <f>IF(B47=0,"",COUNTIFS('Extração'!N:N,"Parcialmente",'Extração'!J:J,A47)/B47)</f>
        <v/>
      </c>
      <c r="F47" s="12" t="str">
        <f>IF(B47=0,"",COUNTIFS('Extração'!O:O,"Parcialmente",'Extração'!J:J,A47)/B47)</f>
        <v/>
      </c>
      <c r="G47" s="12" t="str">
        <f>IF(B47=0,"",COUNTIFS('Extração'!N:N,"Não",'Extração'!J:J,A47)/B47)</f>
        <v/>
      </c>
      <c r="H47" s="12" t="str">
        <f>IF(B47=0,"",COUNTIFS('Extração'!O:O,"Não",'Extração'!J:J,A47)/B47)</f>
        <v/>
      </c>
      <c r="I47" s="12" t="str">
        <f>IF(B47=0,"",COUNTIFS('Extração'!P:P,"Igual",'Extração'!J:J,A47)/B47)</f>
        <v/>
      </c>
    </row>
    <row r="48">
      <c r="B48" s="12">
        <f>COUNTIF('Extração'!J:J,A48)</f>
        <v>0</v>
      </c>
      <c r="C48" s="12" t="str">
        <f>IF(B48=0,"",COUNTIFS('Extração'!N:N,"Sim",'Extração'!J:J,A48)/B48)</f>
        <v/>
      </c>
      <c r="D48" s="12" t="str">
        <f>IF(B48=0,"",COUNTIFS('Extração'!O:O,"Sim",'Extração'!J:J,A48)/B48)</f>
        <v/>
      </c>
      <c r="E48" s="12" t="str">
        <f>IF(B48=0,"",COUNTIFS('Extração'!N:N,"Parcialmente",'Extração'!J:J,A48)/B48)</f>
        <v/>
      </c>
      <c r="F48" s="12" t="str">
        <f>IF(B48=0,"",COUNTIFS('Extração'!O:O,"Parcialmente",'Extração'!J:J,A48)/B48)</f>
        <v/>
      </c>
      <c r="G48" s="12" t="str">
        <f>IF(B48=0,"",COUNTIFS('Extração'!N:N,"Não",'Extração'!J:J,A48)/B48)</f>
        <v/>
      </c>
      <c r="H48" s="12" t="str">
        <f>IF(B48=0,"",COUNTIFS('Extração'!O:O,"Não",'Extração'!J:J,A48)/B48)</f>
        <v/>
      </c>
      <c r="I48" s="12" t="str">
        <f>IF(B48=0,"",COUNTIFS('Extração'!P:P,"Igual",'Extração'!J:J,A48)/B48)</f>
        <v/>
      </c>
    </row>
    <row r="49">
      <c r="B49" s="12">
        <f>COUNTIF('Extração'!J:J,A49)</f>
        <v>0</v>
      </c>
      <c r="C49" s="12" t="str">
        <f>IF(B49=0,"",COUNTIFS('Extração'!N:N,"Sim",'Extração'!J:J,A49)/B49)</f>
        <v/>
      </c>
      <c r="D49" s="12" t="str">
        <f>IF(B49=0,"",COUNTIFS('Extração'!O:O,"Sim",'Extração'!J:J,A49)/B49)</f>
        <v/>
      </c>
      <c r="E49" s="12" t="str">
        <f>IF(B49=0,"",COUNTIFS('Extração'!N:N,"Parcialmente",'Extração'!J:J,A49)/B49)</f>
        <v/>
      </c>
      <c r="F49" s="12" t="str">
        <f>IF(B49=0,"",COUNTIFS('Extração'!O:O,"Parcialmente",'Extração'!J:J,A49)/B49)</f>
        <v/>
      </c>
      <c r="G49" s="12" t="str">
        <f>IF(B49=0,"",COUNTIFS('Extração'!N:N,"Não",'Extração'!J:J,A49)/B49)</f>
        <v/>
      </c>
      <c r="H49" s="12" t="str">
        <f>IF(B49=0,"",COUNTIFS('Extração'!O:O,"Não",'Extração'!J:J,A49)/B49)</f>
        <v/>
      </c>
      <c r="I49" s="12" t="str">
        <f>IF(B49=0,"",COUNTIFS('Extração'!P:P,"Igual",'Extração'!J:J,A49)/B49)</f>
        <v/>
      </c>
    </row>
    <row r="50">
      <c r="B50" s="12">
        <f>COUNTIF('Extração'!J:J,A50)</f>
        <v>0</v>
      </c>
      <c r="C50" s="12" t="str">
        <f>IF(B50=0,"",COUNTIFS('Extração'!N:N,"Sim",'Extração'!J:J,A50)/B50)</f>
        <v/>
      </c>
      <c r="D50" s="12" t="str">
        <f>IF(B50=0,"",COUNTIFS('Extração'!O:O,"Sim",'Extração'!J:J,A50)/B50)</f>
        <v/>
      </c>
      <c r="E50" s="12" t="str">
        <f>IF(B50=0,"",COUNTIFS('Extração'!N:N,"Parcialmente",'Extração'!J:J,A50)/B50)</f>
        <v/>
      </c>
      <c r="F50" s="12" t="str">
        <f>IF(B50=0,"",COUNTIFS('Extração'!O:O,"Parcialmente",'Extração'!J:J,A50)/B50)</f>
        <v/>
      </c>
      <c r="G50" s="12" t="str">
        <f>IF(B50=0,"",COUNTIFS('Extração'!N:N,"Não",'Extração'!J:J,A50)/B50)</f>
        <v/>
      </c>
      <c r="H50" s="12" t="str">
        <f>IF(B50=0,"",COUNTIFS('Extração'!O:O,"Não",'Extração'!J:J,A50)/B50)</f>
        <v/>
      </c>
      <c r="I50" s="12" t="str">
        <f>IF(B50=0,"",COUNTIFS('Extração'!P:P,"Igual",'Extração'!J:J,A50)/B50)</f>
        <v/>
      </c>
    </row>
    <row r="51">
      <c r="B51" s="12">
        <f>COUNTIF('Extração'!J:J,A51)</f>
        <v>0</v>
      </c>
      <c r="C51" s="12" t="str">
        <f>IF(B51=0,"",COUNTIFS('Extração'!N:N,"Sim",'Extração'!J:J,A51)/B51)</f>
        <v/>
      </c>
      <c r="D51" s="12" t="str">
        <f>IF(B51=0,"",COUNTIFS('Extração'!O:O,"Sim",'Extração'!J:J,A51)/B51)</f>
        <v/>
      </c>
      <c r="E51" s="12" t="str">
        <f>IF(B51=0,"",COUNTIFS('Extração'!N:N,"Parcialmente",'Extração'!J:J,A51)/B51)</f>
        <v/>
      </c>
      <c r="F51" s="12" t="str">
        <f>IF(B51=0,"",COUNTIFS('Extração'!O:O,"Parcialmente",'Extração'!J:J,A51)/B51)</f>
        <v/>
      </c>
      <c r="G51" s="12" t="str">
        <f>IF(B51=0,"",COUNTIFS('Extração'!N:N,"Não",'Extração'!J:J,A51)/B51)</f>
        <v/>
      </c>
      <c r="H51" s="12" t="str">
        <f>IF(B51=0,"",COUNTIFS('Extração'!O:O,"Não",'Extração'!J:J,A51)/B51)</f>
        <v/>
      </c>
      <c r="I51" s="12" t="str">
        <f>IF(B51=0,"",COUNTIFS('Extração'!P:P,"Igual",'Extração'!J:J,A51)/B51)</f>
        <v/>
      </c>
    </row>
    <row r="52">
      <c r="B52" s="12">
        <f>COUNTIF('Extração'!J:J,A52)</f>
        <v>0</v>
      </c>
      <c r="C52" s="12" t="str">
        <f>IF(B52=0,"",COUNTIFS('Extração'!N:N,"Sim",'Extração'!J:J,A52)/B52)</f>
        <v/>
      </c>
      <c r="D52" s="12" t="str">
        <f>IF(B52=0,"",COUNTIFS('Extração'!O:O,"Sim",'Extração'!J:J,A52)/B52)</f>
        <v/>
      </c>
      <c r="E52" s="12" t="str">
        <f>IF(B52=0,"",COUNTIFS('Extração'!N:N,"Parcialmente",'Extração'!J:J,A52)/B52)</f>
        <v/>
      </c>
      <c r="F52" s="12" t="str">
        <f>IF(B52=0,"",COUNTIFS('Extração'!O:O,"Parcialmente",'Extração'!J:J,A52)/B52)</f>
        <v/>
      </c>
      <c r="G52" s="12" t="str">
        <f>IF(B52=0,"",COUNTIFS('Extração'!N:N,"Não",'Extração'!J:J,A52)/B52)</f>
        <v/>
      </c>
      <c r="H52" s="12" t="str">
        <f>IF(B52=0,"",COUNTIFS('Extração'!O:O,"Não",'Extração'!J:J,A52)/B52)</f>
        <v/>
      </c>
      <c r="I52" s="12" t="str">
        <f>IF(B52=0,"",COUNTIFS('Extração'!P:P,"Igual",'Extração'!J:J,A52)/B52)</f>
        <v/>
      </c>
    </row>
    <row r="53">
      <c r="B53" s="12">
        <f>COUNTIF('Extração'!J:J,A53)</f>
        <v>0</v>
      </c>
      <c r="C53" s="12" t="str">
        <f>IF(B53=0,"",COUNTIFS('Extração'!N:N,"Sim",'Extração'!J:J,A53)/B53)</f>
        <v/>
      </c>
      <c r="D53" s="12" t="str">
        <f>IF(B53=0,"",COUNTIFS('Extração'!O:O,"Sim",'Extração'!J:J,A53)/B53)</f>
        <v/>
      </c>
      <c r="E53" s="12" t="str">
        <f>IF(B53=0,"",COUNTIFS('Extração'!N:N,"Parcialmente",'Extração'!J:J,A53)/B53)</f>
        <v/>
      </c>
      <c r="F53" s="12" t="str">
        <f>IF(B53=0,"",COUNTIFS('Extração'!O:O,"Parcialmente",'Extração'!J:J,A53)/B53)</f>
        <v/>
      </c>
      <c r="G53" s="12" t="str">
        <f>IF(B53=0,"",COUNTIFS('Extração'!N:N,"Não",'Extração'!J:J,A53)/B53)</f>
        <v/>
      </c>
      <c r="H53" s="12" t="str">
        <f>IF(B53=0,"",COUNTIFS('Extração'!O:O,"Não",'Extração'!J:J,A53)/B53)</f>
        <v/>
      </c>
      <c r="I53" s="12" t="str">
        <f>IF(B53=0,"",COUNTIFS('Extração'!P:P,"Igual",'Extração'!J:J,A53)/B53)</f>
        <v/>
      </c>
    </row>
    <row r="54">
      <c r="B54" s="12">
        <f>COUNTIF('Extração'!J:J,A54)</f>
        <v>0</v>
      </c>
      <c r="C54" s="12" t="str">
        <f>IF(B54=0,"",COUNTIFS('Extração'!N:N,"Sim",'Extração'!J:J,A54)/B54)</f>
        <v/>
      </c>
      <c r="D54" s="12" t="str">
        <f>IF(B54=0,"",COUNTIFS('Extração'!O:O,"Sim",'Extração'!J:J,A54)/B54)</f>
        <v/>
      </c>
      <c r="E54" s="12" t="str">
        <f>IF(B54=0,"",COUNTIFS('Extração'!N:N,"Parcialmente",'Extração'!J:J,A54)/B54)</f>
        <v/>
      </c>
      <c r="F54" s="12" t="str">
        <f>IF(B54=0,"",COUNTIFS('Extração'!O:O,"Parcialmente",'Extração'!J:J,A54)/B54)</f>
        <v/>
      </c>
      <c r="G54" s="12" t="str">
        <f>IF(B54=0,"",COUNTIFS('Extração'!N:N,"Não",'Extração'!J:J,A54)/B54)</f>
        <v/>
      </c>
      <c r="H54" s="12" t="str">
        <f>IF(B54=0,"",COUNTIFS('Extração'!O:O,"Não",'Extração'!J:J,A54)/B54)</f>
        <v/>
      </c>
      <c r="I54" s="12" t="str">
        <f>IF(B54=0,"",COUNTIFS('Extração'!P:P,"Igual",'Extração'!J:J,A54)/B54)</f>
        <v/>
      </c>
    </row>
    <row r="55">
      <c r="B55" s="12">
        <f>COUNTIF('Extração'!J:J,A55)</f>
        <v>0</v>
      </c>
      <c r="C55" s="12" t="str">
        <f>IF(B55=0,"",COUNTIFS('Extração'!N:N,"Sim",'Extração'!J:J,A55)/B55)</f>
        <v/>
      </c>
      <c r="D55" s="12" t="str">
        <f>IF(B55=0,"",COUNTIFS('Extração'!O:O,"Sim",'Extração'!J:J,A55)/B55)</f>
        <v/>
      </c>
      <c r="E55" s="12" t="str">
        <f>IF(B55=0,"",COUNTIFS('Extração'!N:N,"Parcialmente",'Extração'!J:J,A55)/B55)</f>
        <v/>
      </c>
      <c r="F55" s="12" t="str">
        <f>IF(B55=0,"",COUNTIFS('Extração'!O:O,"Parcialmente",'Extração'!J:J,A55)/B55)</f>
        <v/>
      </c>
      <c r="G55" s="12" t="str">
        <f>IF(B55=0,"",COUNTIFS('Extração'!N:N,"Não",'Extração'!J:J,A55)/B55)</f>
        <v/>
      </c>
      <c r="H55" s="12" t="str">
        <f>IF(B55=0,"",COUNTIFS('Extração'!O:O,"Não",'Extração'!J:J,A55)/B55)</f>
        <v/>
      </c>
      <c r="I55" s="12" t="str">
        <f>IF(B55=0,"",COUNTIFS('Extração'!P:P,"Igual",'Extração'!J:J,A55)/B55)</f>
        <v/>
      </c>
    </row>
    <row r="56">
      <c r="B56" s="12">
        <f>COUNTIF('Extração'!J:J,A56)</f>
        <v>0</v>
      </c>
      <c r="C56" s="12" t="str">
        <f>IF(B56=0,"",COUNTIFS('Extração'!N:N,"Sim",'Extração'!J:J,A56)/B56)</f>
        <v/>
      </c>
      <c r="D56" s="12" t="str">
        <f>IF(B56=0,"",COUNTIFS('Extração'!O:O,"Sim",'Extração'!J:J,A56)/B56)</f>
        <v/>
      </c>
      <c r="E56" s="12" t="str">
        <f>IF(B56=0,"",COUNTIFS('Extração'!N:N,"Parcialmente",'Extração'!J:J,A56)/B56)</f>
        <v/>
      </c>
      <c r="F56" s="12" t="str">
        <f>IF(B56=0,"",COUNTIFS('Extração'!O:O,"Parcialmente",'Extração'!J:J,A56)/B56)</f>
        <v/>
      </c>
      <c r="G56" s="12" t="str">
        <f>IF(B56=0,"",COUNTIFS('Extração'!N:N,"Não",'Extração'!J:J,A56)/B56)</f>
        <v/>
      </c>
      <c r="H56" s="12" t="str">
        <f>IF(B56=0,"",COUNTIFS('Extração'!O:O,"Não",'Extração'!J:J,A56)/B56)</f>
        <v/>
      </c>
      <c r="I56" s="12" t="str">
        <f>IF(B56=0,"",COUNTIFS('Extração'!P:P,"Igual",'Extração'!J:J,A56)/B56)</f>
        <v/>
      </c>
    </row>
    <row r="57">
      <c r="B57" s="12">
        <f>COUNTIF('Extração'!J:J,A57)</f>
        <v>0</v>
      </c>
      <c r="C57" s="12" t="str">
        <f>IF(B57=0,"",COUNTIFS('Extração'!N:N,"Sim",'Extração'!J:J,A57)/B57)</f>
        <v/>
      </c>
      <c r="D57" s="12" t="str">
        <f>IF(B57=0,"",COUNTIFS('Extração'!O:O,"Sim",'Extração'!J:J,A57)/B57)</f>
        <v/>
      </c>
      <c r="E57" s="12" t="str">
        <f>IF(B57=0,"",COUNTIFS('Extração'!N:N,"Parcialmente",'Extração'!J:J,A57)/B57)</f>
        <v/>
      </c>
      <c r="F57" s="12" t="str">
        <f>IF(B57=0,"",COUNTIFS('Extração'!O:O,"Parcialmente",'Extração'!J:J,A57)/B57)</f>
        <v/>
      </c>
      <c r="G57" s="12" t="str">
        <f>IF(B57=0,"",COUNTIFS('Extração'!N:N,"Não",'Extração'!J:J,A57)/B57)</f>
        <v/>
      </c>
      <c r="H57" s="12" t="str">
        <f>IF(B57=0,"",COUNTIFS('Extração'!O:O,"Não",'Extração'!J:J,A57)/B57)</f>
        <v/>
      </c>
      <c r="I57" s="12" t="str">
        <f>IF(B57=0,"",COUNTIFS('Extração'!P:P,"Igual",'Extração'!J:J,A57)/B57)</f>
        <v/>
      </c>
    </row>
    <row r="58">
      <c r="B58" s="12">
        <f>COUNTIF('Extração'!J:J,A58)</f>
        <v>0</v>
      </c>
      <c r="C58" s="12" t="str">
        <f>IF(B58=0,"",COUNTIFS('Extração'!N:N,"Sim",'Extração'!J:J,A58)/B58)</f>
        <v/>
      </c>
      <c r="D58" s="12" t="str">
        <f>IF(B58=0,"",COUNTIFS('Extração'!O:O,"Sim",'Extração'!J:J,A58)/B58)</f>
        <v/>
      </c>
      <c r="E58" s="12" t="str">
        <f>IF(B58=0,"",COUNTIFS('Extração'!N:N,"Parcialmente",'Extração'!J:J,A58)/B58)</f>
        <v/>
      </c>
      <c r="F58" s="12" t="str">
        <f>IF(B58=0,"",COUNTIFS('Extração'!O:O,"Parcialmente",'Extração'!J:J,A58)/B58)</f>
        <v/>
      </c>
      <c r="G58" s="12" t="str">
        <f>IF(B58=0,"",COUNTIFS('Extração'!N:N,"Não",'Extração'!J:J,A58)/B58)</f>
        <v/>
      </c>
      <c r="H58" s="12" t="str">
        <f>IF(B58=0,"",COUNTIFS('Extração'!O:O,"Não",'Extração'!J:J,A58)/B58)</f>
        <v/>
      </c>
      <c r="I58" s="12" t="str">
        <f>IF(B58=0,"",COUNTIFS('Extração'!P:P,"Igual",'Extração'!J:J,A58)/B58)</f>
        <v/>
      </c>
    </row>
    <row r="59">
      <c r="B59" s="12">
        <f>COUNTIF('Extração'!J:J,A59)</f>
        <v>0</v>
      </c>
      <c r="C59" s="12" t="str">
        <f>IF(B59=0,"",COUNTIFS('Extração'!N:N,"Sim",'Extração'!J:J,A59)/B59)</f>
        <v/>
      </c>
      <c r="D59" s="12" t="str">
        <f>IF(B59=0,"",COUNTIFS('Extração'!O:O,"Sim",'Extração'!J:J,A59)/B59)</f>
        <v/>
      </c>
      <c r="E59" s="12" t="str">
        <f>IF(B59=0,"",COUNTIFS('Extração'!N:N,"Parcialmente",'Extração'!J:J,A59)/B59)</f>
        <v/>
      </c>
      <c r="F59" s="12" t="str">
        <f>IF(B59=0,"",COUNTIFS('Extração'!O:O,"Parcialmente",'Extração'!J:J,A59)/B59)</f>
        <v/>
      </c>
      <c r="G59" s="12" t="str">
        <f>IF(B59=0,"",COUNTIFS('Extração'!N:N,"Não",'Extração'!J:J,A59)/B59)</f>
        <v/>
      </c>
      <c r="H59" s="12" t="str">
        <f>IF(B59=0,"",COUNTIFS('Extração'!O:O,"Não",'Extração'!J:J,A59)/B59)</f>
        <v/>
      </c>
      <c r="I59" s="12" t="str">
        <f>IF(B59=0,"",COUNTIFS('Extração'!P:P,"Igual",'Extração'!J:J,A59)/B59)</f>
        <v/>
      </c>
    </row>
    <row r="60">
      <c r="B60" s="12">
        <f>COUNTIF('Extração'!J:J,A60)</f>
        <v>0</v>
      </c>
      <c r="C60" s="12" t="str">
        <f>IF(B60=0,"",COUNTIFS('Extração'!N:N,"Sim",'Extração'!J:J,A60)/B60)</f>
        <v/>
      </c>
      <c r="D60" s="12" t="str">
        <f>IF(B60=0,"",COUNTIFS('Extração'!O:O,"Sim",'Extração'!J:J,A60)/B60)</f>
        <v/>
      </c>
      <c r="E60" s="12" t="str">
        <f>IF(B60=0,"",COUNTIFS('Extração'!N:N,"Parcialmente",'Extração'!J:J,A60)/B60)</f>
        <v/>
      </c>
      <c r="F60" s="12" t="str">
        <f>IF(B60=0,"",COUNTIFS('Extração'!O:O,"Parcialmente",'Extração'!J:J,A60)/B60)</f>
        <v/>
      </c>
      <c r="G60" s="12" t="str">
        <f>IF(B60=0,"",COUNTIFS('Extração'!N:N,"Não",'Extração'!J:J,A60)/B60)</f>
        <v/>
      </c>
      <c r="H60" s="12" t="str">
        <f>IF(B60=0,"",COUNTIFS('Extração'!O:O,"Não",'Extração'!J:J,A60)/B60)</f>
        <v/>
      </c>
      <c r="I60" s="12" t="str">
        <f>IF(B60=0,"",COUNTIFS('Extração'!P:P,"Igual",'Extração'!J:J,A60)/B60)</f>
        <v/>
      </c>
    </row>
    <row r="61">
      <c r="B61" s="12">
        <f>COUNTIF('Extração'!J:J,A61)</f>
        <v>0</v>
      </c>
      <c r="C61" s="12" t="str">
        <f>IF(B61=0,"",COUNTIFS('Extração'!N:N,"Sim",'Extração'!J:J,A61)/B61)</f>
        <v/>
      </c>
      <c r="D61" s="12" t="str">
        <f>IF(B61=0,"",COUNTIFS('Extração'!O:O,"Sim",'Extração'!J:J,A61)/B61)</f>
        <v/>
      </c>
      <c r="E61" s="12" t="str">
        <f>IF(B61=0,"",COUNTIFS('Extração'!N:N,"Parcialmente",'Extração'!J:J,A61)/B61)</f>
        <v/>
      </c>
      <c r="F61" s="12" t="str">
        <f>IF(B61=0,"",COUNTIFS('Extração'!O:O,"Parcialmente",'Extração'!J:J,A61)/B61)</f>
        <v/>
      </c>
      <c r="G61" s="12" t="str">
        <f>IF(B61=0,"",COUNTIFS('Extração'!N:N,"Não",'Extração'!J:J,A61)/B61)</f>
        <v/>
      </c>
      <c r="H61" s="12" t="str">
        <f>IF(B61=0,"",COUNTIFS('Extração'!O:O,"Não",'Extração'!J:J,A61)/B61)</f>
        <v/>
      </c>
      <c r="I61" s="12" t="str">
        <f>IF(B61=0,"",COUNTIFS('Extração'!P:P,"Igual",'Extração'!J:J,A61)/B61)</f>
        <v/>
      </c>
    </row>
    <row r="62">
      <c r="B62" s="12">
        <f>COUNTIF('Extração'!J:J,A62)</f>
        <v>0</v>
      </c>
      <c r="C62" s="12" t="str">
        <f>IF(B62=0,"",COUNTIFS('Extração'!N:N,"Sim",'Extração'!J:J,A62)/B62)</f>
        <v/>
      </c>
      <c r="D62" s="12" t="str">
        <f>IF(B62=0,"",COUNTIFS('Extração'!O:O,"Sim",'Extração'!J:J,A62)/B62)</f>
        <v/>
      </c>
      <c r="E62" s="12" t="str">
        <f>IF(B62=0,"",COUNTIFS('Extração'!N:N,"Parcialmente",'Extração'!J:J,A62)/B62)</f>
        <v/>
      </c>
      <c r="F62" s="12" t="str">
        <f>IF(B62=0,"",COUNTIFS('Extração'!O:O,"Parcialmente",'Extração'!J:J,A62)/B62)</f>
        <v/>
      </c>
      <c r="G62" s="12" t="str">
        <f>IF(B62=0,"",COUNTIFS('Extração'!N:N,"Não",'Extração'!J:J,A62)/B62)</f>
        <v/>
      </c>
      <c r="H62" s="12" t="str">
        <f>IF(B62=0,"",COUNTIFS('Extração'!O:O,"Não",'Extração'!J:J,A62)/B62)</f>
        <v/>
      </c>
      <c r="I62" s="12" t="str">
        <f>IF(B62=0,"",COUNTIFS('Extração'!P:P,"Igual",'Extração'!J:J,A62)/B62)</f>
        <v/>
      </c>
    </row>
    <row r="63">
      <c r="B63" s="12">
        <f>COUNTIF('Extração'!J:J,A63)</f>
        <v>0</v>
      </c>
      <c r="C63" s="12" t="str">
        <f>IF(B63=0,"",COUNTIFS('Extração'!N:N,"Sim",'Extração'!J:J,A63)/B63)</f>
        <v/>
      </c>
      <c r="D63" s="12" t="str">
        <f>IF(B63=0,"",COUNTIFS('Extração'!O:O,"Sim",'Extração'!J:J,A63)/B63)</f>
        <v/>
      </c>
      <c r="E63" s="12" t="str">
        <f>IF(B63=0,"",COUNTIFS('Extração'!N:N,"Parcialmente",'Extração'!J:J,A63)/B63)</f>
        <v/>
      </c>
      <c r="F63" s="12" t="str">
        <f>IF(B63=0,"",COUNTIFS('Extração'!O:O,"Parcialmente",'Extração'!J:J,A63)/B63)</f>
        <v/>
      </c>
      <c r="G63" s="12" t="str">
        <f>IF(B63=0,"",COUNTIFS('Extração'!N:N,"Não",'Extração'!J:J,A63)/B63)</f>
        <v/>
      </c>
      <c r="H63" s="12" t="str">
        <f>IF(B63=0,"",COUNTIFS('Extração'!O:O,"Não",'Extração'!J:J,A63)/B63)</f>
        <v/>
      </c>
      <c r="I63" s="12" t="str">
        <f>IF(B63=0,"",COUNTIFS('Extração'!P:P,"Igual",'Extração'!J:J,A63)/B63)</f>
        <v/>
      </c>
    </row>
    <row r="64">
      <c r="B64" s="12">
        <f>COUNTIF('Extração'!J:J,A64)</f>
        <v>0</v>
      </c>
      <c r="C64" s="12" t="str">
        <f>IF(B64=0,"",COUNTIFS('Extração'!N:N,"Sim",'Extração'!J:J,A64)/B64)</f>
        <v/>
      </c>
      <c r="D64" s="12" t="str">
        <f>IF(B64=0,"",COUNTIFS('Extração'!O:O,"Sim",'Extração'!J:J,A64)/B64)</f>
        <v/>
      </c>
      <c r="E64" s="12" t="str">
        <f>IF(B64=0,"",COUNTIFS('Extração'!N:N,"Parcialmente",'Extração'!J:J,A64)/B64)</f>
        <v/>
      </c>
      <c r="F64" s="12" t="str">
        <f>IF(B64=0,"",COUNTIFS('Extração'!O:O,"Parcialmente",'Extração'!J:J,A64)/B64)</f>
        <v/>
      </c>
      <c r="G64" s="12" t="str">
        <f>IF(B64=0,"",COUNTIFS('Extração'!N:N,"Não",'Extração'!J:J,A64)/B64)</f>
        <v/>
      </c>
      <c r="H64" s="12" t="str">
        <f>IF(B64=0,"",COUNTIFS('Extração'!O:O,"Não",'Extração'!J:J,A64)/B64)</f>
        <v/>
      </c>
      <c r="I64" s="12" t="str">
        <f>IF(B64=0,"",COUNTIFS('Extração'!P:P,"Igual",'Extração'!J:J,A64)/B64)</f>
        <v/>
      </c>
    </row>
    <row r="65">
      <c r="B65" s="12">
        <f>COUNTIF('Extração'!J:J,A65)</f>
        <v>0</v>
      </c>
      <c r="C65" s="12" t="str">
        <f>IF(B65=0,"",COUNTIFS('Extração'!N:N,"Sim",'Extração'!J:J,A65)/B65)</f>
        <v/>
      </c>
      <c r="D65" s="12" t="str">
        <f>IF(B65=0,"",COUNTIFS('Extração'!O:O,"Sim",'Extração'!J:J,A65)/B65)</f>
        <v/>
      </c>
      <c r="E65" s="12" t="str">
        <f>IF(B65=0,"",COUNTIFS('Extração'!N:N,"Parcialmente",'Extração'!J:J,A65)/B65)</f>
        <v/>
      </c>
      <c r="F65" s="12" t="str">
        <f>IF(B65=0,"",COUNTIFS('Extração'!O:O,"Parcialmente",'Extração'!J:J,A65)/B65)</f>
        <v/>
      </c>
      <c r="G65" s="12" t="str">
        <f>IF(B65=0,"",COUNTIFS('Extração'!N:N,"Não",'Extração'!J:J,A65)/B65)</f>
        <v/>
      </c>
      <c r="H65" s="12" t="str">
        <f>IF(B65=0,"",COUNTIFS('Extração'!O:O,"Não",'Extração'!J:J,A65)/B65)</f>
        <v/>
      </c>
      <c r="I65" s="12" t="str">
        <f>IF(B65=0,"",COUNTIFS('Extração'!P:P,"Igual",'Extração'!J:J,A65)/B65)</f>
        <v/>
      </c>
    </row>
    <row r="66">
      <c r="B66" s="12">
        <f>COUNTIF('Extração'!J:J,A66)</f>
        <v>0</v>
      </c>
      <c r="C66" s="12" t="str">
        <f>IF(B66=0,"",COUNTIFS('Extração'!N:N,"Sim",'Extração'!J:J,A66)/B66)</f>
        <v/>
      </c>
      <c r="D66" s="12" t="str">
        <f>IF(B66=0,"",COUNTIFS('Extração'!O:O,"Sim",'Extração'!J:J,A66)/B66)</f>
        <v/>
      </c>
      <c r="E66" s="12" t="str">
        <f>IF(B66=0,"",COUNTIFS('Extração'!N:N,"Parcialmente",'Extração'!J:J,A66)/B66)</f>
        <v/>
      </c>
      <c r="F66" s="12" t="str">
        <f>IF(B66=0,"",COUNTIFS('Extração'!O:O,"Parcialmente",'Extração'!J:J,A66)/B66)</f>
        <v/>
      </c>
      <c r="G66" s="12" t="str">
        <f>IF(B66=0,"",COUNTIFS('Extração'!N:N,"Não",'Extração'!J:J,A66)/B66)</f>
        <v/>
      </c>
      <c r="H66" s="12" t="str">
        <f>IF(B66=0,"",COUNTIFS('Extração'!O:O,"Não",'Extração'!J:J,A66)/B66)</f>
        <v/>
      </c>
      <c r="I66" s="12" t="str">
        <f>IF(B66=0,"",COUNTIFS('Extração'!P:P,"Igual",'Extração'!J:J,A66)/B66)</f>
        <v/>
      </c>
    </row>
    <row r="67">
      <c r="B67" s="12">
        <f>COUNTIF('Extração'!J:J,A67)</f>
        <v>0</v>
      </c>
      <c r="C67" s="12" t="str">
        <f>IF(B67=0,"",COUNTIFS('Extração'!N:N,"Sim",'Extração'!J:J,A67)/B67)</f>
        <v/>
      </c>
      <c r="D67" s="12" t="str">
        <f>IF(B67=0,"",COUNTIFS('Extração'!O:O,"Sim",'Extração'!J:J,A67)/B67)</f>
        <v/>
      </c>
      <c r="E67" s="12" t="str">
        <f>IF(B67=0,"",COUNTIFS('Extração'!N:N,"Parcialmente",'Extração'!J:J,A67)/B67)</f>
        <v/>
      </c>
      <c r="F67" s="12" t="str">
        <f>IF(B67=0,"",COUNTIFS('Extração'!O:O,"Parcialmente",'Extração'!J:J,A67)/B67)</f>
        <v/>
      </c>
      <c r="G67" s="12" t="str">
        <f>IF(B67=0,"",COUNTIFS('Extração'!N:N,"Não",'Extração'!J:J,A67)/B67)</f>
        <v/>
      </c>
      <c r="H67" s="12" t="str">
        <f>IF(B67=0,"",COUNTIFS('Extração'!O:O,"Não",'Extração'!J:J,A67)/B67)</f>
        <v/>
      </c>
      <c r="I67" s="12" t="str">
        <f>IF(B67=0,"",COUNTIFS('Extração'!P:P,"Igual",'Extração'!J:J,A67)/B67)</f>
        <v/>
      </c>
    </row>
    <row r="68">
      <c r="B68" s="12">
        <f>COUNTIF('Extração'!J:J,A68)</f>
        <v>0</v>
      </c>
      <c r="C68" s="12" t="str">
        <f>IF(B68=0,"",COUNTIFS('Extração'!N:N,"Sim",'Extração'!J:J,A68)/B68)</f>
        <v/>
      </c>
      <c r="D68" s="12" t="str">
        <f>IF(B68=0,"",COUNTIFS('Extração'!O:O,"Sim",'Extração'!J:J,A68)/B68)</f>
        <v/>
      </c>
      <c r="E68" s="12" t="str">
        <f>IF(B68=0,"",COUNTIFS('Extração'!N:N,"Parcialmente",'Extração'!J:J,A68)/B68)</f>
        <v/>
      </c>
      <c r="F68" s="12" t="str">
        <f>IF(B68=0,"",COUNTIFS('Extração'!O:O,"Parcialmente",'Extração'!J:J,A68)/B68)</f>
        <v/>
      </c>
      <c r="G68" s="12" t="str">
        <f>IF(B68=0,"",COUNTIFS('Extração'!N:N,"Não",'Extração'!J:J,A68)/B68)</f>
        <v/>
      </c>
      <c r="H68" s="12" t="str">
        <f>IF(B68=0,"",COUNTIFS('Extração'!O:O,"Não",'Extração'!J:J,A68)/B68)</f>
        <v/>
      </c>
      <c r="I68" s="12" t="str">
        <f>IF(B68=0,"",COUNTIFS('Extração'!P:P,"Igual",'Extração'!J:J,A68)/B68)</f>
        <v/>
      </c>
    </row>
    <row r="69">
      <c r="B69" s="12">
        <f>COUNTIF('Extração'!J:J,A69)</f>
        <v>0</v>
      </c>
      <c r="C69" s="12" t="str">
        <f>IF(B69=0,"",COUNTIFS('Extração'!N:N,"Sim",'Extração'!J:J,A69)/B69)</f>
        <v/>
      </c>
      <c r="D69" s="12" t="str">
        <f>IF(B69=0,"",COUNTIFS('Extração'!O:O,"Sim",'Extração'!J:J,A69)/B69)</f>
        <v/>
      </c>
      <c r="E69" s="12" t="str">
        <f>IF(B69=0,"",COUNTIFS('Extração'!N:N,"Parcialmente",'Extração'!J:J,A69)/B69)</f>
        <v/>
      </c>
      <c r="F69" s="12" t="str">
        <f>IF(B69=0,"",COUNTIFS('Extração'!O:O,"Parcialmente",'Extração'!J:J,A69)/B69)</f>
        <v/>
      </c>
      <c r="G69" s="12" t="str">
        <f>IF(B69=0,"",COUNTIFS('Extração'!N:N,"Não",'Extração'!J:J,A69)/B69)</f>
        <v/>
      </c>
      <c r="H69" s="12" t="str">
        <f>IF(B69=0,"",COUNTIFS('Extração'!O:O,"Não",'Extração'!J:J,A69)/B69)</f>
        <v/>
      </c>
      <c r="I69" s="12" t="str">
        <f>IF(B69=0,"",COUNTIFS('Extração'!P:P,"Igual",'Extração'!J:J,A69)/B69)</f>
        <v/>
      </c>
    </row>
    <row r="70">
      <c r="B70" s="12">
        <f>COUNTIF('Extração'!J:J,A70)</f>
        <v>0</v>
      </c>
      <c r="C70" s="12" t="str">
        <f>IF(B70=0,"",COUNTIFS('Extração'!N:N,"Sim",'Extração'!J:J,A70)/B70)</f>
        <v/>
      </c>
      <c r="D70" s="12" t="str">
        <f>IF(B70=0,"",COUNTIFS('Extração'!O:O,"Sim",'Extração'!J:J,A70)/B70)</f>
        <v/>
      </c>
      <c r="E70" s="12" t="str">
        <f>IF(B70=0,"",COUNTIFS('Extração'!N:N,"Parcialmente",'Extração'!J:J,A70)/B70)</f>
        <v/>
      </c>
      <c r="F70" s="12" t="str">
        <f>IF(B70=0,"",COUNTIFS('Extração'!O:O,"Parcialmente",'Extração'!J:J,A70)/B70)</f>
        <v/>
      </c>
      <c r="G70" s="12" t="str">
        <f>IF(B70=0,"",COUNTIFS('Extração'!N:N,"Não",'Extração'!J:J,A70)/B70)</f>
        <v/>
      </c>
      <c r="H70" s="12" t="str">
        <f>IF(B70=0,"",COUNTIFS('Extração'!O:O,"Não",'Extração'!J:J,A70)/B70)</f>
        <v/>
      </c>
      <c r="I70" s="12" t="str">
        <f>IF(B70=0,"",COUNTIFS('Extração'!P:P,"Igual",'Extração'!J:J,A70)/B70)</f>
        <v/>
      </c>
    </row>
    <row r="71">
      <c r="B71" s="12">
        <f>COUNTIF('Extração'!J:J,A71)</f>
        <v>0</v>
      </c>
      <c r="C71" s="12" t="str">
        <f>IF(B71=0,"",COUNTIFS('Extração'!N:N,"Sim",'Extração'!J:J,A71)/B71)</f>
        <v/>
      </c>
      <c r="D71" s="12" t="str">
        <f>IF(B71=0,"",COUNTIFS('Extração'!O:O,"Sim",'Extração'!J:J,A71)/B71)</f>
        <v/>
      </c>
      <c r="E71" s="12" t="str">
        <f>IF(B71=0,"",COUNTIFS('Extração'!N:N,"Parcialmente",'Extração'!J:J,A71)/B71)</f>
        <v/>
      </c>
      <c r="F71" s="12" t="str">
        <f>IF(B71=0,"",COUNTIFS('Extração'!O:O,"Parcialmente",'Extração'!J:J,A71)/B71)</f>
        <v/>
      </c>
      <c r="G71" s="12" t="str">
        <f>IF(B71=0,"",COUNTIFS('Extração'!N:N,"Não",'Extração'!J:J,A71)/B71)</f>
        <v/>
      </c>
      <c r="H71" s="12" t="str">
        <f>IF(B71=0,"",COUNTIFS('Extração'!O:O,"Não",'Extração'!J:J,A71)/B71)</f>
        <v/>
      </c>
      <c r="I71" s="12" t="str">
        <f>IF(B71=0,"",COUNTIFS('Extração'!P:P,"Igual",'Extração'!J:J,A71)/B71)</f>
        <v/>
      </c>
    </row>
    <row r="72">
      <c r="B72" s="12">
        <f>COUNTIF('Extração'!J:J,A72)</f>
        <v>0</v>
      </c>
      <c r="C72" s="12" t="str">
        <f>IF(B72=0,"",COUNTIFS('Extração'!N:N,"Sim",'Extração'!J:J,A72)/B72)</f>
        <v/>
      </c>
      <c r="D72" s="12" t="str">
        <f>IF(B72=0,"",COUNTIFS('Extração'!O:O,"Sim",'Extração'!J:J,A72)/B72)</f>
        <v/>
      </c>
      <c r="E72" s="12" t="str">
        <f>IF(B72=0,"",COUNTIFS('Extração'!N:N,"Parcialmente",'Extração'!J:J,A72)/B72)</f>
        <v/>
      </c>
      <c r="F72" s="12" t="str">
        <f>IF(B72=0,"",COUNTIFS('Extração'!O:O,"Parcialmente",'Extração'!J:J,A72)/B72)</f>
        <v/>
      </c>
      <c r="G72" s="12" t="str">
        <f>IF(B72=0,"",COUNTIFS('Extração'!N:N,"Não",'Extração'!J:J,A72)/B72)</f>
        <v/>
      </c>
      <c r="H72" s="12" t="str">
        <f>IF(B72=0,"",COUNTIFS('Extração'!O:O,"Não",'Extração'!J:J,A72)/B72)</f>
        <v/>
      </c>
      <c r="I72" s="12" t="str">
        <f>IF(B72=0,"",COUNTIFS('Extração'!P:P,"Igual",'Extração'!J:J,A72)/B72)</f>
        <v/>
      </c>
    </row>
    <row r="73">
      <c r="B73" s="12">
        <f>COUNTIF('Extração'!J:J,A73)</f>
        <v>0</v>
      </c>
      <c r="C73" s="12" t="str">
        <f>IF(B73=0,"",COUNTIFS('Extração'!N:N,"Sim",'Extração'!J:J,A73)/B73)</f>
        <v/>
      </c>
      <c r="D73" s="12" t="str">
        <f>IF(B73=0,"",COUNTIFS('Extração'!O:O,"Sim",'Extração'!J:J,A73)/B73)</f>
        <v/>
      </c>
      <c r="E73" s="12" t="str">
        <f>IF(B73=0,"",COUNTIFS('Extração'!N:N,"Parcialmente",'Extração'!J:J,A73)/B73)</f>
        <v/>
      </c>
      <c r="F73" s="12" t="str">
        <f>IF(B73=0,"",COUNTIFS('Extração'!O:O,"Parcialmente",'Extração'!J:J,A73)/B73)</f>
        <v/>
      </c>
      <c r="G73" s="12" t="str">
        <f>IF(B73=0,"",COUNTIFS('Extração'!N:N,"Não",'Extração'!J:J,A73)/B73)</f>
        <v/>
      </c>
      <c r="H73" s="12" t="str">
        <f>IF(B73=0,"",COUNTIFS('Extração'!O:O,"Não",'Extração'!J:J,A73)/B73)</f>
        <v/>
      </c>
      <c r="I73" s="12" t="str">
        <f>IF(B73=0,"",COUNTIFS('Extração'!P:P,"Igual",'Extração'!J:J,A73)/B73)</f>
        <v/>
      </c>
    </row>
    <row r="74">
      <c r="B74" s="12">
        <f>COUNTIF('Extração'!J:J,A74)</f>
        <v>0</v>
      </c>
      <c r="C74" s="12" t="str">
        <f>IF(B74=0,"",COUNTIFS('Extração'!N:N,"Sim",'Extração'!J:J,A74)/B74)</f>
        <v/>
      </c>
      <c r="D74" s="12" t="str">
        <f>IF(B74=0,"",COUNTIFS('Extração'!O:O,"Sim",'Extração'!J:J,A74)/B74)</f>
        <v/>
      </c>
      <c r="E74" s="12" t="str">
        <f>IF(B74=0,"",COUNTIFS('Extração'!N:N,"Parcialmente",'Extração'!J:J,A74)/B74)</f>
        <v/>
      </c>
      <c r="F74" s="12" t="str">
        <f>IF(B74=0,"",COUNTIFS('Extração'!O:O,"Parcialmente",'Extração'!J:J,A74)/B74)</f>
        <v/>
      </c>
      <c r="G74" s="12" t="str">
        <f>IF(B74=0,"",COUNTIFS('Extração'!N:N,"Não",'Extração'!J:J,A74)/B74)</f>
        <v/>
      </c>
      <c r="H74" s="12" t="str">
        <f>IF(B74=0,"",COUNTIFS('Extração'!O:O,"Não",'Extração'!J:J,A74)/B74)</f>
        <v/>
      </c>
      <c r="I74" s="12" t="str">
        <f>IF(B74=0,"",COUNTIFS('Extração'!P:P,"Igual",'Extração'!J:J,A74)/B74)</f>
        <v/>
      </c>
    </row>
    <row r="75">
      <c r="B75" s="12">
        <f>COUNTIF('Extração'!J:J,A75)</f>
        <v>0</v>
      </c>
      <c r="C75" s="12" t="str">
        <f>IF(B75=0,"",COUNTIFS('Extração'!N:N,"Sim",'Extração'!J:J,A75)/B75)</f>
        <v/>
      </c>
      <c r="D75" s="12" t="str">
        <f>IF(B75=0,"",COUNTIFS('Extração'!O:O,"Sim",'Extração'!J:J,A75)/B75)</f>
        <v/>
      </c>
      <c r="E75" s="12" t="str">
        <f>IF(B75=0,"",COUNTIFS('Extração'!N:N,"Parcialmente",'Extração'!J:J,A75)/B75)</f>
        <v/>
      </c>
      <c r="F75" s="12" t="str">
        <f>IF(B75=0,"",COUNTIFS('Extração'!O:O,"Parcialmente",'Extração'!J:J,A75)/B75)</f>
        <v/>
      </c>
      <c r="G75" s="12" t="str">
        <f>IF(B75=0,"",COUNTIFS('Extração'!N:N,"Não",'Extração'!J:J,A75)/B75)</f>
        <v/>
      </c>
      <c r="H75" s="12" t="str">
        <f>IF(B75=0,"",COUNTIFS('Extração'!O:O,"Não",'Extração'!J:J,A75)/B75)</f>
        <v/>
      </c>
      <c r="I75" s="12" t="str">
        <f>IF(B75=0,"",COUNTIFS('Extração'!P:P,"Igual",'Extração'!J:J,A75)/B75)</f>
        <v/>
      </c>
    </row>
    <row r="76">
      <c r="B76" s="12">
        <f>COUNTIF('Extração'!J:J,A76)</f>
        <v>0</v>
      </c>
      <c r="C76" s="12" t="str">
        <f>IF(B76=0,"",COUNTIFS('Extração'!N:N,"Sim",'Extração'!J:J,A76)/B76)</f>
        <v/>
      </c>
      <c r="D76" s="12" t="str">
        <f>IF(B76=0,"",COUNTIFS('Extração'!O:O,"Sim",'Extração'!J:J,A76)/B76)</f>
        <v/>
      </c>
      <c r="E76" s="12" t="str">
        <f>IF(B76=0,"",COUNTIFS('Extração'!N:N,"Parcialmente",'Extração'!J:J,A76)/B76)</f>
        <v/>
      </c>
      <c r="F76" s="12" t="str">
        <f>IF(B76=0,"",COUNTIFS('Extração'!O:O,"Parcialmente",'Extração'!J:J,A76)/B76)</f>
        <v/>
      </c>
      <c r="G76" s="12" t="str">
        <f>IF(B76=0,"",COUNTIFS('Extração'!N:N,"Não",'Extração'!J:J,A76)/B76)</f>
        <v/>
      </c>
      <c r="H76" s="12" t="str">
        <f>IF(B76=0,"",COUNTIFS('Extração'!O:O,"Não",'Extração'!J:J,A76)/B76)</f>
        <v/>
      </c>
      <c r="I76" s="12" t="str">
        <f>IF(B76=0,"",COUNTIFS('Extração'!P:P,"Igual",'Extração'!J:J,A76)/B76)</f>
        <v/>
      </c>
    </row>
    <row r="77">
      <c r="B77" s="12">
        <f>COUNTIF('Extração'!J:J,A77)</f>
        <v>0</v>
      </c>
      <c r="C77" s="12" t="str">
        <f>IF(B77=0,"",COUNTIFS('Extração'!N:N,"Sim",'Extração'!J:J,A77)/B77)</f>
        <v/>
      </c>
      <c r="D77" s="12" t="str">
        <f>IF(B77=0,"",COUNTIFS('Extração'!O:O,"Sim",'Extração'!J:J,A77)/B77)</f>
        <v/>
      </c>
      <c r="E77" s="12" t="str">
        <f>IF(B77=0,"",COUNTIFS('Extração'!N:N,"Parcialmente",'Extração'!J:J,A77)/B77)</f>
        <v/>
      </c>
      <c r="F77" s="12" t="str">
        <f>IF(B77=0,"",COUNTIFS('Extração'!O:O,"Parcialmente",'Extração'!J:J,A77)/B77)</f>
        <v/>
      </c>
      <c r="G77" s="12" t="str">
        <f>IF(B77=0,"",COUNTIFS('Extração'!N:N,"Não",'Extração'!J:J,A77)/B77)</f>
        <v/>
      </c>
      <c r="H77" s="12" t="str">
        <f>IF(B77=0,"",COUNTIFS('Extração'!O:O,"Não",'Extração'!J:J,A77)/B77)</f>
        <v/>
      </c>
      <c r="I77" s="12" t="str">
        <f>IF(B77=0,"",COUNTIFS('Extração'!P:P,"Igual",'Extração'!J:J,A77)/B77)</f>
        <v/>
      </c>
    </row>
    <row r="78">
      <c r="B78" s="12">
        <f>COUNTIF('Extração'!J:J,A78)</f>
        <v>0</v>
      </c>
      <c r="C78" s="12" t="str">
        <f>IF(B78=0,"",COUNTIFS('Extração'!N:N,"Sim",'Extração'!J:J,A78)/B78)</f>
        <v/>
      </c>
      <c r="D78" s="12" t="str">
        <f>IF(B78=0,"",COUNTIFS('Extração'!O:O,"Sim",'Extração'!J:J,A78)/B78)</f>
        <v/>
      </c>
      <c r="E78" s="12" t="str">
        <f>IF(B78=0,"",COUNTIFS('Extração'!N:N,"Parcialmente",'Extração'!J:J,A78)/B78)</f>
        <v/>
      </c>
      <c r="F78" s="12" t="str">
        <f>IF(B78=0,"",COUNTIFS('Extração'!O:O,"Parcialmente",'Extração'!J:J,A78)/B78)</f>
        <v/>
      </c>
      <c r="G78" s="12" t="str">
        <f>IF(B78=0,"",COUNTIFS('Extração'!N:N,"Não",'Extração'!J:J,A78)/B78)</f>
        <v/>
      </c>
      <c r="H78" s="12" t="str">
        <f>IF(B78=0,"",COUNTIFS('Extração'!O:O,"Não",'Extração'!J:J,A78)/B78)</f>
        <v/>
      </c>
      <c r="I78" s="12" t="str">
        <f>IF(B78=0,"",COUNTIFS('Extração'!P:P,"Igual",'Extração'!J:J,A78)/B78)</f>
        <v/>
      </c>
    </row>
    <row r="79">
      <c r="B79" s="12">
        <f>COUNTIF('Extração'!J:J,A79)</f>
        <v>0</v>
      </c>
      <c r="C79" s="12" t="str">
        <f>IF(B79=0,"",COUNTIFS('Extração'!N:N,"Sim",'Extração'!J:J,A79)/B79)</f>
        <v/>
      </c>
      <c r="D79" s="12" t="str">
        <f>IF(B79=0,"",COUNTIFS('Extração'!O:O,"Sim",'Extração'!J:J,A79)/B79)</f>
        <v/>
      </c>
      <c r="E79" s="12" t="str">
        <f>IF(B79=0,"",COUNTIFS('Extração'!N:N,"Parcialmente",'Extração'!J:J,A79)/B79)</f>
        <v/>
      </c>
      <c r="F79" s="12" t="str">
        <f>IF(B79=0,"",COUNTIFS('Extração'!O:O,"Parcialmente",'Extração'!J:J,A79)/B79)</f>
        <v/>
      </c>
      <c r="G79" s="12" t="str">
        <f>IF(B79=0,"",COUNTIFS('Extração'!N:N,"Não",'Extração'!J:J,A79)/B79)</f>
        <v/>
      </c>
      <c r="H79" s="12" t="str">
        <f>IF(B79=0,"",COUNTIFS('Extração'!O:O,"Não",'Extração'!J:J,A79)/B79)</f>
        <v/>
      </c>
      <c r="I79" s="12" t="str">
        <f>IF(B79=0,"",COUNTIFS('Extração'!P:P,"Igual",'Extração'!J:J,A79)/B79)</f>
        <v/>
      </c>
    </row>
    <row r="80">
      <c r="B80" s="12">
        <f>COUNTIF('Extração'!J:J,A80)</f>
        <v>0</v>
      </c>
      <c r="C80" s="12" t="str">
        <f>IF(B80=0,"",COUNTIFS('Extração'!N:N,"Sim",'Extração'!J:J,A80)/B80)</f>
        <v/>
      </c>
      <c r="D80" s="12" t="str">
        <f>IF(B80=0,"",COUNTIFS('Extração'!O:O,"Sim",'Extração'!J:J,A80)/B80)</f>
        <v/>
      </c>
      <c r="E80" s="12" t="str">
        <f>IF(B80=0,"",COUNTIFS('Extração'!N:N,"Parcialmente",'Extração'!J:J,A80)/B80)</f>
        <v/>
      </c>
      <c r="F80" s="12" t="str">
        <f>IF(B80=0,"",COUNTIFS('Extração'!O:O,"Parcialmente",'Extração'!J:J,A80)/B80)</f>
        <v/>
      </c>
      <c r="G80" s="12" t="str">
        <f>IF(B80=0,"",COUNTIFS('Extração'!N:N,"Não",'Extração'!J:J,A80)/B80)</f>
        <v/>
      </c>
      <c r="H80" s="12" t="str">
        <f>IF(B80=0,"",COUNTIFS('Extração'!O:O,"Não",'Extração'!J:J,A80)/B80)</f>
        <v/>
      </c>
      <c r="I80" s="12" t="str">
        <f>IF(B80=0,"",COUNTIFS('Extração'!P:P,"Igual",'Extração'!J:J,A80)/B80)</f>
        <v/>
      </c>
    </row>
    <row r="81">
      <c r="B81" s="12">
        <f>COUNTIF('Extração'!J:J,A81)</f>
        <v>0</v>
      </c>
      <c r="C81" s="12" t="str">
        <f>IF(B81=0,"",COUNTIFS('Extração'!N:N,"Sim",'Extração'!J:J,A81)/B81)</f>
        <v/>
      </c>
      <c r="D81" s="12" t="str">
        <f>IF(B81=0,"",COUNTIFS('Extração'!O:O,"Sim",'Extração'!J:J,A81)/B81)</f>
        <v/>
      </c>
      <c r="E81" s="12" t="str">
        <f>IF(B81=0,"",COUNTIFS('Extração'!N:N,"Parcialmente",'Extração'!J:J,A81)/B81)</f>
        <v/>
      </c>
      <c r="F81" s="12" t="str">
        <f>IF(B81=0,"",COUNTIFS('Extração'!O:O,"Parcialmente",'Extração'!J:J,A81)/B81)</f>
        <v/>
      </c>
      <c r="G81" s="12" t="str">
        <f>IF(B81=0,"",COUNTIFS('Extração'!N:N,"Não",'Extração'!J:J,A81)/B81)</f>
        <v/>
      </c>
      <c r="H81" s="12" t="str">
        <f>IF(B81=0,"",COUNTIFS('Extração'!O:O,"Não",'Extração'!J:J,A81)/B81)</f>
        <v/>
      </c>
      <c r="I81" s="12" t="str">
        <f>IF(B81=0,"",COUNTIFS('Extração'!P:P,"Igual",'Extração'!J:J,A81)/B81)</f>
        <v/>
      </c>
    </row>
    <row r="82">
      <c r="B82" s="12">
        <f>COUNTIF('Extração'!J:J,A82)</f>
        <v>0</v>
      </c>
      <c r="C82" s="12" t="str">
        <f>IF(B82=0,"",COUNTIFS('Extração'!N:N,"Sim",'Extração'!J:J,A82)/B82)</f>
        <v/>
      </c>
      <c r="D82" s="12" t="str">
        <f>IF(B82=0,"",COUNTIFS('Extração'!O:O,"Sim",'Extração'!J:J,A82)/B82)</f>
        <v/>
      </c>
      <c r="E82" s="12" t="str">
        <f>IF(B82=0,"",COUNTIFS('Extração'!N:N,"Parcialmente",'Extração'!J:J,A82)/B82)</f>
        <v/>
      </c>
      <c r="F82" s="12" t="str">
        <f>IF(B82=0,"",COUNTIFS('Extração'!O:O,"Parcialmente",'Extração'!J:J,A82)/B82)</f>
        <v/>
      </c>
      <c r="G82" s="12" t="str">
        <f>IF(B82=0,"",COUNTIFS('Extração'!N:N,"Não",'Extração'!J:J,A82)/B82)</f>
        <v/>
      </c>
      <c r="H82" s="12" t="str">
        <f>IF(B82=0,"",COUNTIFS('Extração'!O:O,"Não",'Extração'!J:J,A82)/B82)</f>
        <v/>
      </c>
      <c r="I82" s="12" t="str">
        <f>IF(B82=0,"",COUNTIFS('Extração'!P:P,"Igual",'Extração'!J:J,A82)/B82)</f>
        <v/>
      </c>
    </row>
    <row r="83">
      <c r="B83" s="12">
        <f>COUNTIF('Extração'!J:J,A83)</f>
        <v>0</v>
      </c>
      <c r="C83" s="12" t="str">
        <f>IF(B83=0,"",COUNTIFS('Extração'!N:N,"Sim",'Extração'!J:J,A83)/B83)</f>
        <v/>
      </c>
      <c r="D83" s="12" t="str">
        <f>IF(B83=0,"",COUNTIFS('Extração'!O:O,"Sim",'Extração'!J:J,A83)/B83)</f>
        <v/>
      </c>
      <c r="E83" s="12" t="str">
        <f>IF(B83=0,"",COUNTIFS('Extração'!N:N,"Parcialmente",'Extração'!J:J,A83)/B83)</f>
        <v/>
      </c>
      <c r="F83" s="12" t="str">
        <f>IF(B83=0,"",COUNTIFS('Extração'!O:O,"Parcialmente",'Extração'!J:J,A83)/B83)</f>
        <v/>
      </c>
      <c r="G83" s="12" t="str">
        <f>IF(B83=0,"",COUNTIFS('Extração'!N:N,"Não",'Extração'!J:J,A83)/B83)</f>
        <v/>
      </c>
      <c r="H83" s="12" t="str">
        <f>IF(B83=0,"",COUNTIFS('Extração'!O:O,"Não",'Extração'!J:J,A83)/B83)</f>
        <v/>
      </c>
      <c r="I83" s="12" t="str">
        <f>IF(B83=0,"",COUNTIFS('Extração'!P:P,"Igual",'Extração'!J:J,A83)/B83)</f>
        <v/>
      </c>
    </row>
    <row r="84">
      <c r="B84" s="12">
        <f>COUNTIF('Extração'!J:J,A84)</f>
        <v>0</v>
      </c>
      <c r="C84" s="12" t="str">
        <f>IF(B84=0,"",COUNTIFS('Extração'!N:N,"Sim",'Extração'!J:J,A84)/B84)</f>
        <v/>
      </c>
      <c r="D84" s="12" t="str">
        <f>IF(B84=0,"",COUNTIFS('Extração'!O:O,"Sim",'Extração'!J:J,A84)/B84)</f>
        <v/>
      </c>
      <c r="E84" s="12" t="str">
        <f>IF(B84=0,"",COUNTIFS('Extração'!N:N,"Parcialmente",'Extração'!J:J,A84)/B84)</f>
        <v/>
      </c>
      <c r="F84" s="12" t="str">
        <f>IF(B84=0,"",COUNTIFS('Extração'!O:O,"Parcialmente",'Extração'!J:J,A84)/B84)</f>
        <v/>
      </c>
      <c r="G84" s="12" t="str">
        <f>IF(B84=0,"",COUNTIFS('Extração'!N:N,"Não",'Extração'!J:J,A84)/B84)</f>
        <v/>
      </c>
      <c r="H84" s="12" t="str">
        <f>IF(B84=0,"",COUNTIFS('Extração'!O:O,"Não",'Extração'!J:J,A84)/B84)</f>
        <v/>
      </c>
      <c r="I84" s="12" t="str">
        <f>IF(B84=0,"",COUNTIFS('Extração'!P:P,"Igual",'Extração'!J:J,A84)/B84)</f>
        <v/>
      </c>
    </row>
    <row r="85">
      <c r="B85" s="12">
        <f>COUNTIF('Extração'!J:J,A85)</f>
        <v>0</v>
      </c>
      <c r="C85" s="12" t="str">
        <f>IF(B85=0,"",COUNTIFS('Extração'!N:N,"Sim",'Extração'!J:J,A85)/B85)</f>
        <v/>
      </c>
      <c r="D85" s="12" t="str">
        <f>IF(B85=0,"",COUNTIFS('Extração'!O:O,"Sim",'Extração'!J:J,A85)/B85)</f>
        <v/>
      </c>
      <c r="E85" s="12" t="str">
        <f>IF(B85=0,"",COUNTIFS('Extração'!N:N,"Parcialmente",'Extração'!J:J,A85)/B85)</f>
        <v/>
      </c>
      <c r="F85" s="12" t="str">
        <f>IF(B85=0,"",COUNTIFS('Extração'!O:O,"Parcialmente",'Extração'!J:J,A85)/B85)</f>
        <v/>
      </c>
      <c r="G85" s="12" t="str">
        <f>IF(B85=0,"",COUNTIFS('Extração'!N:N,"Não",'Extração'!J:J,A85)/B85)</f>
        <v/>
      </c>
      <c r="H85" s="12" t="str">
        <f>IF(B85=0,"",COUNTIFS('Extração'!O:O,"Não",'Extração'!J:J,A85)/B85)</f>
        <v/>
      </c>
      <c r="I85" s="12" t="str">
        <f>IF(B85=0,"",COUNTIFS('Extração'!P:P,"Igual",'Extração'!J:J,A85)/B85)</f>
        <v/>
      </c>
    </row>
    <row r="86">
      <c r="B86" s="12">
        <f>COUNTIF('Extração'!J:J,A86)</f>
        <v>0</v>
      </c>
      <c r="C86" s="12" t="str">
        <f>IF(B86=0,"",COUNTIFS('Extração'!N:N,"Sim",'Extração'!J:J,A86)/B86)</f>
        <v/>
      </c>
      <c r="D86" s="12" t="str">
        <f>IF(B86=0,"",COUNTIFS('Extração'!O:O,"Sim",'Extração'!J:J,A86)/B86)</f>
        <v/>
      </c>
      <c r="E86" s="12" t="str">
        <f>IF(B86=0,"",COUNTIFS('Extração'!N:N,"Parcialmente",'Extração'!J:J,A86)/B86)</f>
        <v/>
      </c>
      <c r="F86" s="12" t="str">
        <f>IF(B86=0,"",COUNTIFS('Extração'!O:O,"Parcialmente",'Extração'!J:J,A86)/B86)</f>
        <v/>
      </c>
      <c r="G86" s="12" t="str">
        <f>IF(B86=0,"",COUNTIFS('Extração'!N:N,"Não",'Extração'!J:J,A86)/B86)</f>
        <v/>
      </c>
      <c r="H86" s="12" t="str">
        <f>IF(B86=0,"",COUNTIFS('Extração'!O:O,"Não",'Extração'!J:J,A86)/B86)</f>
        <v/>
      </c>
      <c r="I86" s="12" t="str">
        <f>IF(B86=0,"",COUNTIFS('Extração'!P:P,"Igual",'Extração'!J:J,A86)/B86)</f>
        <v/>
      </c>
    </row>
    <row r="87">
      <c r="B87" s="12">
        <f>COUNTIF('Extração'!J:J,A87)</f>
        <v>0</v>
      </c>
      <c r="C87" s="12" t="str">
        <f>IF(B87=0,"",COUNTIFS('Extração'!N:N,"Sim",'Extração'!J:J,A87)/B87)</f>
        <v/>
      </c>
      <c r="D87" s="12" t="str">
        <f>IF(B87=0,"",COUNTIFS('Extração'!O:O,"Sim",'Extração'!J:J,A87)/B87)</f>
        <v/>
      </c>
      <c r="E87" s="12" t="str">
        <f>IF(B87=0,"",COUNTIFS('Extração'!N:N,"Parcialmente",'Extração'!J:J,A87)/B87)</f>
        <v/>
      </c>
      <c r="F87" s="12" t="str">
        <f>IF(B87=0,"",COUNTIFS('Extração'!O:O,"Parcialmente",'Extração'!J:J,A87)/B87)</f>
        <v/>
      </c>
      <c r="G87" s="12" t="str">
        <f>IF(B87=0,"",COUNTIFS('Extração'!N:N,"Não",'Extração'!J:J,A87)/B87)</f>
        <v/>
      </c>
      <c r="H87" s="12" t="str">
        <f>IF(B87=0,"",COUNTIFS('Extração'!O:O,"Não",'Extração'!J:J,A87)/B87)</f>
        <v/>
      </c>
      <c r="I87" s="12" t="str">
        <f>IF(B87=0,"",COUNTIFS('Extração'!P:P,"Igual",'Extração'!J:J,A87)/B87)</f>
        <v/>
      </c>
    </row>
    <row r="88">
      <c r="B88" s="12">
        <f>COUNTIF('Extração'!J:J,A88)</f>
        <v>0</v>
      </c>
      <c r="C88" s="12" t="str">
        <f>IF(B88=0,"",COUNTIFS('Extração'!N:N,"Sim",'Extração'!J:J,A88)/B88)</f>
        <v/>
      </c>
      <c r="D88" s="12" t="str">
        <f>IF(B88=0,"",COUNTIFS('Extração'!O:O,"Sim",'Extração'!J:J,A88)/B88)</f>
        <v/>
      </c>
      <c r="E88" s="12" t="str">
        <f>IF(B88=0,"",COUNTIFS('Extração'!N:N,"Parcialmente",'Extração'!J:J,A88)/B88)</f>
        <v/>
      </c>
      <c r="F88" s="12" t="str">
        <f>IF(B88=0,"",COUNTIFS('Extração'!O:O,"Parcialmente",'Extração'!J:J,A88)/B88)</f>
        <v/>
      </c>
      <c r="G88" s="12" t="str">
        <f>IF(B88=0,"",COUNTIFS('Extração'!N:N,"Não",'Extração'!J:J,A88)/B88)</f>
        <v/>
      </c>
      <c r="H88" s="12" t="str">
        <f>IF(B88=0,"",COUNTIFS('Extração'!O:O,"Não",'Extração'!J:J,A88)/B88)</f>
        <v/>
      </c>
      <c r="I88" s="12" t="str">
        <f>IF(B88=0,"",COUNTIFS('Extração'!P:P,"Igual",'Extração'!J:J,A88)/B88)</f>
        <v/>
      </c>
    </row>
    <row r="89">
      <c r="B89" s="12">
        <f>COUNTIF('Extração'!J:J,A89)</f>
        <v>0</v>
      </c>
      <c r="C89" s="12" t="str">
        <f>IF(B89=0,"",COUNTIFS('Extração'!N:N,"Sim",'Extração'!J:J,A89)/B89)</f>
        <v/>
      </c>
      <c r="D89" s="12" t="str">
        <f>IF(B89=0,"",COUNTIFS('Extração'!O:O,"Sim",'Extração'!J:J,A89)/B89)</f>
        <v/>
      </c>
      <c r="E89" s="12" t="str">
        <f>IF(B89=0,"",COUNTIFS('Extração'!N:N,"Parcialmente",'Extração'!J:J,A89)/B89)</f>
        <v/>
      </c>
      <c r="F89" s="12" t="str">
        <f>IF(B89=0,"",COUNTIFS('Extração'!O:O,"Parcialmente",'Extração'!J:J,A89)/B89)</f>
        <v/>
      </c>
      <c r="G89" s="12" t="str">
        <f>IF(B89=0,"",COUNTIFS('Extração'!N:N,"Não",'Extração'!J:J,A89)/B89)</f>
        <v/>
      </c>
      <c r="H89" s="12" t="str">
        <f>IF(B89=0,"",COUNTIFS('Extração'!O:O,"Não",'Extração'!J:J,A89)/B89)</f>
        <v/>
      </c>
      <c r="I89" s="12" t="str">
        <f>IF(B89=0,"",COUNTIFS('Extração'!P:P,"Igual",'Extração'!J:J,A89)/B89)</f>
        <v/>
      </c>
    </row>
    <row r="90">
      <c r="B90" s="12">
        <f>COUNTIF('Extração'!J:J,A90)</f>
        <v>0</v>
      </c>
      <c r="C90" s="12" t="str">
        <f>IF(B90=0,"",COUNTIFS('Extração'!N:N,"Sim",'Extração'!J:J,A90)/B90)</f>
        <v/>
      </c>
      <c r="D90" s="12" t="str">
        <f>IF(B90=0,"",COUNTIFS('Extração'!O:O,"Sim",'Extração'!J:J,A90)/B90)</f>
        <v/>
      </c>
      <c r="E90" s="12" t="str">
        <f>IF(B90=0,"",COUNTIFS('Extração'!N:N,"Parcialmente",'Extração'!J:J,A90)/B90)</f>
        <v/>
      </c>
      <c r="F90" s="12" t="str">
        <f>IF(B90=0,"",COUNTIFS('Extração'!O:O,"Parcialmente",'Extração'!J:J,A90)/B90)</f>
        <v/>
      </c>
      <c r="G90" s="12" t="str">
        <f>IF(B90=0,"",COUNTIFS('Extração'!N:N,"Não",'Extração'!J:J,A90)/B90)</f>
        <v/>
      </c>
      <c r="H90" s="12" t="str">
        <f>IF(B90=0,"",COUNTIFS('Extração'!O:O,"Não",'Extração'!J:J,A90)/B90)</f>
        <v/>
      </c>
      <c r="I90" s="12" t="str">
        <f>IF(B90=0,"",COUNTIFS('Extração'!P:P,"Igual",'Extração'!J:J,A90)/B90)</f>
        <v/>
      </c>
    </row>
    <row r="91">
      <c r="B91" s="12">
        <f>COUNTIF('Extração'!J:J,A91)</f>
        <v>0</v>
      </c>
      <c r="C91" s="12" t="str">
        <f>IF(B91=0,"",COUNTIFS('Extração'!N:N,"Sim",'Extração'!J:J,A91)/B91)</f>
        <v/>
      </c>
      <c r="D91" s="12" t="str">
        <f>IF(B91=0,"",COUNTIFS('Extração'!O:O,"Sim",'Extração'!J:J,A91)/B91)</f>
        <v/>
      </c>
      <c r="E91" s="12" t="str">
        <f>IF(B91=0,"",COUNTIFS('Extração'!N:N,"Parcialmente",'Extração'!J:J,A91)/B91)</f>
        <v/>
      </c>
      <c r="F91" s="12" t="str">
        <f>IF(B91=0,"",COUNTIFS('Extração'!O:O,"Parcialmente",'Extração'!J:J,A91)/B91)</f>
        <v/>
      </c>
      <c r="G91" s="12" t="str">
        <f>IF(B91=0,"",COUNTIFS('Extração'!N:N,"Não",'Extração'!J:J,A91)/B91)</f>
        <v/>
      </c>
      <c r="H91" s="12" t="str">
        <f>IF(B91=0,"",COUNTIFS('Extração'!O:O,"Não",'Extração'!J:J,A91)/B91)</f>
        <v/>
      </c>
      <c r="I91" s="12" t="str">
        <f>IF(B91=0,"",COUNTIFS('Extração'!P:P,"Igual",'Extração'!J:J,A91)/B91)</f>
        <v/>
      </c>
    </row>
    <row r="92">
      <c r="B92" s="12">
        <f>COUNTIF('Extração'!J:J,A92)</f>
        <v>0</v>
      </c>
      <c r="C92" s="12" t="str">
        <f>IF(B92=0,"",COUNTIFS('Extração'!N:N,"Sim",'Extração'!J:J,A92)/B92)</f>
        <v/>
      </c>
      <c r="D92" s="12" t="str">
        <f>IF(B92=0,"",COUNTIFS('Extração'!O:O,"Sim",'Extração'!J:J,A92)/B92)</f>
        <v/>
      </c>
      <c r="E92" s="12" t="str">
        <f>IF(B92=0,"",COUNTIFS('Extração'!N:N,"Parcialmente",'Extração'!J:J,A92)/B92)</f>
        <v/>
      </c>
      <c r="F92" s="12" t="str">
        <f>IF(B92=0,"",COUNTIFS('Extração'!O:O,"Parcialmente",'Extração'!J:J,A92)/B92)</f>
        <v/>
      </c>
      <c r="G92" s="12" t="str">
        <f>IF(B92=0,"",COUNTIFS('Extração'!N:N,"Não",'Extração'!J:J,A92)/B92)</f>
        <v/>
      </c>
      <c r="H92" s="12" t="str">
        <f>IF(B92=0,"",COUNTIFS('Extração'!O:O,"Não",'Extração'!J:J,A92)/B92)</f>
        <v/>
      </c>
      <c r="I92" s="12" t="str">
        <f>IF(B92=0,"",COUNTIFS('Extração'!P:P,"Igual",'Extração'!J:J,A92)/B92)</f>
        <v/>
      </c>
    </row>
    <row r="93">
      <c r="B93" s="12">
        <f>COUNTIF('Extração'!J:J,A93)</f>
        <v>0</v>
      </c>
      <c r="C93" s="12" t="str">
        <f>IF(B93=0,"",COUNTIFS('Extração'!N:N,"Sim",'Extração'!J:J,A93)/B93)</f>
        <v/>
      </c>
      <c r="D93" s="12" t="str">
        <f>IF(B93=0,"",COUNTIFS('Extração'!O:O,"Sim",'Extração'!J:J,A93)/B93)</f>
        <v/>
      </c>
      <c r="E93" s="12" t="str">
        <f>IF(B93=0,"",COUNTIFS('Extração'!N:N,"Parcialmente",'Extração'!J:J,A93)/B93)</f>
        <v/>
      </c>
      <c r="F93" s="12" t="str">
        <f>IF(B93=0,"",COUNTIFS('Extração'!O:O,"Parcialmente",'Extração'!J:J,A93)/B93)</f>
        <v/>
      </c>
      <c r="G93" s="12" t="str">
        <f>IF(B93=0,"",COUNTIFS('Extração'!N:N,"Não",'Extração'!J:J,A93)/B93)</f>
        <v/>
      </c>
      <c r="H93" s="12" t="str">
        <f>IF(B93=0,"",COUNTIFS('Extração'!O:O,"Não",'Extração'!J:J,A93)/B93)</f>
        <v/>
      </c>
      <c r="I93" s="12" t="str">
        <f>IF(B93=0,"",COUNTIFS('Extração'!P:P,"Igual",'Extração'!J:J,A93)/B93)</f>
        <v/>
      </c>
    </row>
    <row r="94">
      <c r="B94" s="12">
        <f>COUNTIF('Extração'!J:J,A94)</f>
        <v>0</v>
      </c>
      <c r="C94" s="12" t="str">
        <f>IF(B94=0,"",COUNTIFS('Extração'!N:N,"Sim",'Extração'!J:J,A94)/B94)</f>
        <v/>
      </c>
      <c r="D94" s="12" t="str">
        <f>IF(B94=0,"",COUNTIFS('Extração'!O:O,"Sim",'Extração'!J:J,A94)/B94)</f>
        <v/>
      </c>
      <c r="E94" s="12" t="str">
        <f>IF(B94=0,"",COUNTIFS('Extração'!N:N,"Parcialmente",'Extração'!J:J,A94)/B94)</f>
        <v/>
      </c>
      <c r="F94" s="12" t="str">
        <f>IF(B94=0,"",COUNTIFS('Extração'!O:O,"Parcialmente",'Extração'!J:J,A94)/B94)</f>
        <v/>
      </c>
      <c r="G94" s="12" t="str">
        <f>IF(B94=0,"",COUNTIFS('Extração'!N:N,"Não",'Extração'!J:J,A94)/B94)</f>
        <v/>
      </c>
      <c r="H94" s="12" t="str">
        <f>IF(B94=0,"",COUNTIFS('Extração'!O:O,"Não",'Extração'!J:J,A94)/B94)</f>
        <v/>
      </c>
      <c r="I94" s="12" t="str">
        <f>IF(B94=0,"",COUNTIFS('Extração'!P:P,"Igual",'Extração'!J:J,A94)/B94)</f>
        <v/>
      </c>
    </row>
    <row r="95">
      <c r="B95" s="12">
        <f>COUNTIF('Extração'!J:J,A95)</f>
        <v>0</v>
      </c>
      <c r="C95" s="12" t="str">
        <f>IF(B95=0,"",COUNTIFS('Extração'!N:N,"Sim",'Extração'!J:J,A95)/B95)</f>
        <v/>
      </c>
      <c r="D95" s="12" t="str">
        <f>IF(B95=0,"",COUNTIFS('Extração'!O:O,"Sim",'Extração'!J:J,A95)/B95)</f>
        <v/>
      </c>
      <c r="E95" s="12" t="str">
        <f>IF(B95=0,"",COUNTIFS('Extração'!N:N,"Parcialmente",'Extração'!J:J,A95)/B95)</f>
        <v/>
      </c>
      <c r="F95" s="12" t="str">
        <f>IF(B95=0,"",COUNTIFS('Extração'!O:O,"Parcialmente",'Extração'!J:J,A95)/B95)</f>
        <v/>
      </c>
      <c r="G95" s="12" t="str">
        <f>IF(B95=0,"",COUNTIFS('Extração'!N:N,"Não",'Extração'!J:J,A95)/B95)</f>
        <v/>
      </c>
      <c r="H95" s="12" t="str">
        <f>IF(B95=0,"",COUNTIFS('Extração'!O:O,"Não",'Extração'!J:J,A95)/B95)</f>
        <v/>
      </c>
      <c r="I95" s="12" t="str">
        <f>IF(B95=0,"",COUNTIFS('Extração'!P:P,"Igual",'Extração'!J:J,A95)/B95)</f>
        <v/>
      </c>
    </row>
    <row r="96">
      <c r="B96" s="12">
        <f>COUNTIF('Extração'!J:J,A96)</f>
        <v>0</v>
      </c>
      <c r="C96" s="12" t="str">
        <f>IF(B96=0,"",COUNTIFS('Extração'!N:N,"Sim",'Extração'!J:J,A96)/B96)</f>
        <v/>
      </c>
      <c r="D96" s="12" t="str">
        <f>IF(B96=0,"",COUNTIFS('Extração'!O:O,"Sim",'Extração'!J:J,A96)/B96)</f>
        <v/>
      </c>
      <c r="E96" s="12" t="str">
        <f>IF(B96=0,"",COUNTIFS('Extração'!N:N,"Parcialmente",'Extração'!J:J,A96)/B96)</f>
        <v/>
      </c>
      <c r="F96" s="12" t="str">
        <f>IF(B96=0,"",COUNTIFS('Extração'!O:O,"Parcialmente",'Extração'!J:J,A96)/B96)</f>
        <v/>
      </c>
      <c r="G96" s="12" t="str">
        <f>IF(B96=0,"",COUNTIFS('Extração'!N:N,"Não",'Extração'!J:J,A96)/B96)</f>
        <v/>
      </c>
      <c r="H96" s="12" t="str">
        <f>IF(B96=0,"",COUNTIFS('Extração'!O:O,"Não",'Extração'!J:J,A96)/B96)</f>
        <v/>
      </c>
      <c r="I96" s="12" t="str">
        <f>IF(B96=0,"",COUNTIFS('Extração'!P:P,"Igual",'Extração'!J:J,A96)/B96)</f>
        <v/>
      </c>
    </row>
    <row r="97">
      <c r="B97" s="12">
        <f>COUNTIF('Extração'!J:J,A97)</f>
        <v>0</v>
      </c>
      <c r="C97" s="12" t="str">
        <f>IF(B97=0,"",COUNTIFS('Extração'!N:N,"Sim",'Extração'!J:J,A97)/B97)</f>
        <v/>
      </c>
      <c r="D97" s="12" t="str">
        <f>IF(B97=0,"",COUNTIFS('Extração'!O:O,"Sim",'Extração'!J:J,A97)/B97)</f>
        <v/>
      </c>
      <c r="E97" s="12" t="str">
        <f>IF(B97=0,"",COUNTIFS('Extração'!N:N,"Parcialmente",'Extração'!J:J,A97)/B97)</f>
        <v/>
      </c>
      <c r="F97" s="12" t="str">
        <f>IF(B97=0,"",COUNTIFS('Extração'!O:O,"Parcialmente",'Extração'!J:J,A97)/B97)</f>
        <v/>
      </c>
      <c r="G97" s="12" t="str">
        <f>IF(B97=0,"",COUNTIFS('Extração'!N:N,"Não",'Extração'!J:J,A97)/B97)</f>
        <v/>
      </c>
      <c r="H97" s="12" t="str">
        <f>IF(B97=0,"",COUNTIFS('Extração'!O:O,"Não",'Extração'!J:J,A97)/B97)</f>
        <v/>
      </c>
      <c r="I97" s="12" t="str">
        <f>IF(B97=0,"",COUNTIFS('Extração'!P:P,"Igual",'Extração'!J:J,A97)/B97)</f>
        <v/>
      </c>
    </row>
    <row r="98">
      <c r="B98" s="12">
        <f>COUNTIF('Extração'!J:J,A98)</f>
        <v>0</v>
      </c>
      <c r="C98" s="12" t="str">
        <f>IF(B98=0,"",COUNTIFS('Extração'!N:N,"Sim",'Extração'!J:J,A98)/B98)</f>
        <v/>
      </c>
      <c r="D98" s="12" t="str">
        <f>IF(B98=0,"",COUNTIFS('Extração'!O:O,"Sim",'Extração'!J:J,A98)/B98)</f>
        <v/>
      </c>
      <c r="E98" s="12" t="str">
        <f>IF(B98=0,"",COUNTIFS('Extração'!N:N,"Parcialmente",'Extração'!J:J,A98)/B98)</f>
        <v/>
      </c>
      <c r="F98" s="12" t="str">
        <f>IF(B98=0,"",COUNTIFS('Extração'!O:O,"Parcialmente",'Extração'!J:J,A98)/B98)</f>
        <v/>
      </c>
      <c r="G98" s="12" t="str">
        <f>IF(B98=0,"",COUNTIFS('Extração'!N:N,"Não",'Extração'!J:J,A98)/B98)</f>
        <v/>
      </c>
      <c r="H98" s="12" t="str">
        <f>IF(B98=0,"",COUNTIFS('Extração'!O:O,"Não",'Extração'!J:J,A98)/B98)</f>
        <v/>
      </c>
      <c r="I98" s="12" t="str">
        <f>IF(B98=0,"",COUNTIFS('Extração'!P:P,"Igual",'Extração'!J:J,A98)/B98)</f>
        <v/>
      </c>
    </row>
    <row r="99">
      <c r="B99" s="12">
        <f>COUNTIF('Extração'!J:J,A99)</f>
        <v>0</v>
      </c>
      <c r="C99" s="12" t="str">
        <f>IF(B99=0,"",COUNTIFS('Extração'!N:N,"Sim",'Extração'!J:J,A99)/B99)</f>
        <v/>
      </c>
      <c r="D99" s="12" t="str">
        <f>IF(B99=0,"",COUNTIFS('Extração'!O:O,"Sim",'Extração'!J:J,A99)/B99)</f>
        <v/>
      </c>
      <c r="E99" s="12" t="str">
        <f>IF(B99=0,"",COUNTIFS('Extração'!N:N,"Parcialmente",'Extração'!J:J,A99)/B99)</f>
        <v/>
      </c>
      <c r="F99" s="12" t="str">
        <f>IF(B99=0,"",COUNTIFS('Extração'!O:O,"Parcialmente",'Extração'!J:J,A99)/B99)</f>
        <v/>
      </c>
      <c r="G99" s="12" t="str">
        <f>IF(B99=0,"",COUNTIFS('Extração'!N:N,"Não",'Extração'!J:J,A99)/B99)</f>
        <v/>
      </c>
      <c r="H99" s="12" t="str">
        <f>IF(B99=0,"",COUNTIFS('Extração'!O:O,"Não",'Extração'!J:J,A99)/B99)</f>
        <v/>
      </c>
      <c r="I99" s="12" t="str">
        <f>IF(B99=0,"",COUNTIFS('Extração'!P:P,"Igual",'Extração'!J:J,A99)/B99)</f>
        <v/>
      </c>
    </row>
    <row r="100">
      <c r="B100" s="12">
        <f>COUNTIF('Extração'!J:J,A100)</f>
        <v>0</v>
      </c>
      <c r="C100" s="12" t="str">
        <f>IF(B100=0,"",COUNTIFS('Extração'!N:N,"Sim",'Extração'!J:J,A100)/B100)</f>
        <v/>
      </c>
      <c r="D100" s="12" t="str">
        <f>IF(B100=0,"",COUNTIFS('Extração'!O:O,"Sim",'Extração'!J:J,A100)/B100)</f>
        <v/>
      </c>
      <c r="E100" s="12" t="str">
        <f>IF(B100=0,"",COUNTIFS('Extração'!N:N,"Parcialmente",'Extração'!J:J,A100)/B100)</f>
        <v/>
      </c>
      <c r="F100" s="12" t="str">
        <f>IF(B100=0,"",COUNTIFS('Extração'!O:O,"Parcialmente",'Extração'!J:J,A100)/B100)</f>
        <v/>
      </c>
      <c r="G100" s="12" t="str">
        <f>IF(B100=0,"",COUNTIFS('Extração'!N:N,"Não",'Extração'!J:J,A100)/B100)</f>
        <v/>
      </c>
      <c r="H100" s="12" t="str">
        <f>IF(B100=0,"",COUNTIFS('Extração'!O:O,"Não",'Extração'!J:J,A100)/B100)</f>
        <v/>
      </c>
      <c r="I100" s="12" t="str">
        <f>IF(B100=0,"",COUNTIFS('Extração'!P:P,"Igual",'Extração'!J:J,A100)/B100)</f>
        <v/>
      </c>
    </row>
    <row r="101">
      <c r="B101" s="12">
        <f>COUNTIF('Extração'!J:J,A101)</f>
        <v>0</v>
      </c>
      <c r="C101" s="12" t="str">
        <f>IF(B101=0,"",COUNTIFS('Extração'!N:N,"Sim",'Extração'!J:J,A101)/B101)</f>
        <v/>
      </c>
      <c r="D101" s="12" t="str">
        <f>IF(B101=0,"",COUNTIFS('Extração'!O:O,"Sim",'Extração'!J:J,A101)/B101)</f>
        <v/>
      </c>
      <c r="E101" s="12" t="str">
        <f>IF(B101=0,"",COUNTIFS('Extração'!N:N,"Parcialmente",'Extração'!J:J,A101)/B101)</f>
        <v/>
      </c>
      <c r="F101" s="12" t="str">
        <f>IF(B101=0,"",COUNTIFS('Extração'!O:O,"Parcialmente",'Extração'!J:J,A101)/B101)</f>
        <v/>
      </c>
      <c r="G101" s="12" t="str">
        <f>IF(B101=0,"",COUNTIFS('Extração'!N:N,"Não",'Extração'!J:J,A101)/B101)</f>
        <v/>
      </c>
      <c r="H101" s="12" t="str">
        <f>IF(B101=0,"",COUNTIFS('Extração'!O:O,"Não",'Extração'!J:J,A101)/B101)</f>
        <v/>
      </c>
      <c r="I101" s="12" t="str">
        <f>IF(B101=0,"",COUNTIFS('Extração'!P:P,"Igual",'Extração'!J:J,A101)/B101)</f>
        <v/>
      </c>
    </row>
    <row r="102">
      <c r="B102" s="12">
        <f>COUNTIF('Extração'!J:J,A102)</f>
        <v>0</v>
      </c>
      <c r="C102" s="12" t="str">
        <f>IF(B102=0,"",COUNTIFS('Extração'!N:N,"Sim",'Extração'!J:J,A102)/B102)</f>
        <v/>
      </c>
      <c r="D102" s="12" t="str">
        <f>IF(B102=0,"",COUNTIFS('Extração'!O:O,"Sim",'Extração'!J:J,A102)/B102)</f>
        <v/>
      </c>
      <c r="E102" s="12" t="str">
        <f>IF(B102=0,"",COUNTIFS('Extração'!N:N,"Parcialmente",'Extração'!J:J,A102)/B102)</f>
        <v/>
      </c>
      <c r="F102" s="12" t="str">
        <f>IF(B102=0,"",COUNTIFS('Extração'!O:O,"Parcialmente",'Extração'!J:J,A102)/B102)</f>
        <v/>
      </c>
      <c r="G102" s="12" t="str">
        <f>IF(B102=0,"",COUNTIFS('Extração'!N:N,"Não",'Extração'!J:J,A102)/B102)</f>
        <v/>
      </c>
      <c r="H102" s="12" t="str">
        <f>IF(B102=0,"",COUNTIFS('Extração'!O:O,"Não",'Extração'!J:J,A102)/B102)</f>
        <v/>
      </c>
      <c r="I102" s="12" t="str">
        <f>IF(B102=0,"",COUNTIFS('Extração'!P:P,"Igual",'Extração'!J:J,A102)/B102)</f>
        <v/>
      </c>
    </row>
    <row r="103">
      <c r="B103" s="12">
        <f>COUNTIF('Extração'!J:J,A103)</f>
        <v>0</v>
      </c>
      <c r="C103" s="12" t="str">
        <f>IF(B103=0,"",COUNTIFS('Extração'!N:N,"Sim",'Extração'!J:J,A103)/B103)</f>
        <v/>
      </c>
      <c r="D103" s="12" t="str">
        <f>IF(B103=0,"",COUNTIFS('Extração'!O:O,"Sim",'Extração'!J:J,A103)/B103)</f>
        <v/>
      </c>
      <c r="E103" s="12" t="str">
        <f>IF(B103=0,"",COUNTIFS('Extração'!N:N,"Parcialmente",'Extração'!J:J,A103)/B103)</f>
        <v/>
      </c>
      <c r="F103" s="12" t="str">
        <f>IF(B103=0,"",COUNTIFS('Extração'!O:O,"Parcialmente",'Extração'!J:J,A103)/B103)</f>
        <v/>
      </c>
      <c r="G103" s="12" t="str">
        <f>IF(B103=0,"",COUNTIFS('Extração'!N:N,"Não",'Extração'!J:J,A103)/B103)</f>
        <v/>
      </c>
      <c r="H103" s="12" t="str">
        <f>IF(B103=0,"",COUNTIFS('Extração'!O:O,"Não",'Extração'!J:J,A103)/B103)</f>
        <v/>
      </c>
      <c r="I103" s="12" t="str">
        <f>IF(B103=0,"",COUNTIFS('Extração'!P:P,"Igual",'Extração'!J:J,A103)/B103)</f>
        <v/>
      </c>
    </row>
    <row r="104">
      <c r="B104" s="12">
        <f>COUNTIF('Extração'!J:J,A104)</f>
        <v>0</v>
      </c>
      <c r="C104" s="12" t="str">
        <f>IF(B104=0,"",COUNTIFS('Extração'!N:N,"Sim",'Extração'!J:J,A104)/B104)</f>
        <v/>
      </c>
      <c r="D104" s="12" t="str">
        <f>IF(B104=0,"",COUNTIFS('Extração'!O:O,"Sim",'Extração'!J:J,A104)/B104)</f>
        <v/>
      </c>
      <c r="E104" s="12" t="str">
        <f>IF(B104=0,"",COUNTIFS('Extração'!N:N,"Parcialmente",'Extração'!J:J,A104)/B104)</f>
        <v/>
      </c>
      <c r="F104" s="12" t="str">
        <f>IF(B104=0,"",COUNTIFS('Extração'!O:O,"Parcialmente",'Extração'!J:J,A104)/B104)</f>
        <v/>
      </c>
      <c r="G104" s="12" t="str">
        <f>IF(B104=0,"",COUNTIFS('Extração'!N:N,"Não",'Extração'!J:J,A104)/B104)</f>
        <v/>
      </c>
      <c r="H104" s="12" t="str">
        <f>IF(B104=0,"",COUNTIFS('Extração'!O:O,"Não",'Extração'!J:J,A104)/B104)</f>
        <v/>
      </c>
      <c r="I104" s="12" t="str">
        <f>IF(B104=0,"",COUNTIFS('Extração'!P:P,"Igual",'Extração'!J:J,A104)/B104)</f>
        <v/>
      </c>
    </row>
    <row r="105">
      <c r="B105" s="12">
        <f>COUNTIF('Extração'!J:J,A105)</f>
        <v>0</v>
      </c>
      <c r="C105" s="12" t="str">
        <f>IF(B105=0,"",COUNTIFS('Extração'!N:N,"Sim",'Extração'!J:J,A105)/B105)</f>
        <v/>
      </c>
      <c r="D105" s="12" t="str">
        <f>IF(B105=0,"",COUNTIFS('Extração'!O:O,"Sim",'Extração'!J:J,A105)/B105)</f>
        <v/>
      </c>
      <c r="E105" s="12" t="str">
        <f>IF(B105=0,"",COUNTIFS('Extração'!N:N,"Parcialmente",'Extração'!J:J,A105)/B105)</f>
        <v/>
      </c>
      <c r="F105" s="12" t="str">
        <f>IF(B105=0,"",COUNTIFS('Extração'!O:O,"Parcialmente",'Extração'!J:J,A105)/B105)</f>
        <v/>
      </c>
      <c r="G105" s="12" t="str">
        <f>IF(B105=0,"",COUNTIFS('Extração'!N:N,"Não",'Extração'!J:J,A105)/B105)</f>
        <v/>
      </c>
      <c r="H105" s="12" t="str">
        <f>IF(B105=0,"",COUNTIFS('Extração'!O:O,"Não",'Extração'!J:J,A105)/B105)</f>
        <v/>
      </c>
      <c r="I105" s="12" t="str">
        <f>IF(B105=0,"",COUNTIFS('Extração'!P:P,"Igual",'Extração'!J:J,A105)/B105)</f>
        <v/>
      </c>
    </row>
    <row r="106">
      <c r="B106" s="12">
        <f>COUNTIF('Extração'!J:J,A106)</f>
        <v>0</v>
      </c>
      <c r="C106" s="12" t="str">
        <f>IF(B106=0,"",COUNTIFS('Extração'!N:N,"Sim",'Extração'!J:J,A106)/B106)</f>
        <v/>
      </c>
      <c r="D106" s="12" t="str">
        <f>IF(B106=0,"",COUNTIFS('Extração'!O:O,"Sim",'Extração'!J:J,A106)/B106)</f>
        <v/>
      </c>
      <c r="E106" s="12" t="str">
        <f>IF(B106=0,"",COUNTIFS('Extração'!N:N,"Parcialmente",'Extração'!J:J,A106)/B106)</f>
        <v/>
      </c>
      <c r="F106" s="12" t="str">
        <f>IF(B106=0,"",COUNTIFS('Extração'!O:O,"Parcialmente",'Extração'!J:J,A106)/B106)</f>
        <v/>
      </c>
      <c r="G106" s="12" t="str">
        <f>IF(B106=0,"",COUNTIFS('Extração'!N:N,"Não",'Extração'!J:J,A106)/B106)</f>
        <v/>
      </c>
      <c r="H106" s="12" t="str">
        <f>IF(B106=0,"",COUNTIFS('Extração'!O:O,"Não",'Extração'!J:J,A106)/B106)</f>
        <v/>
      </c>
      <c r="I106" s="12" t="str">
        <f>IF(B106=0,"",COUNTIFS('Extração'!P:P,"Igual",'Extração'!J:J,A106)/B106)</f>
        <v/>
      </c>
    </row>
    <row r="107">
      <c r="B107" s="12">
        <f>COUNTIF('Extração'!J:J,A107)</f>
        <v>0</v>
      </c>
      <c r="C107" s="12" t="str">
        <f>IF(B107=0,"",COUNTIFS('Extração'!N:N,"Sim",'Extração'!J:J,A107)/B107)</f>
        <v/>
      </c>
      <c r="D107" s="12" t="str">
        <f>IF(B107=0,"",COUNTIFS('Extração'!O:O,"Sim",'Extração'!J:J,A107)/B107)</f>
        <v/>
      </c>
      <c r="E107" s="12" t="str">
        <f>IF(B107=0,"",COUNTIFS('Extração'!N:N,"Parcialmente",'Extração'!J:J,A107)/B107)</f>
        <v/>
      </c>
      <c r="F107" s="12" t="str">
        <f>IF(B107=0,"",COUNTIFS('Extração'!O:O,"Parcialmente",'Extração'!J:J,A107)/B107)</f>
        <v/>
      </c>
      <c r="G107" s="12" t="str">
        <f>IF(B107=0,"",COUNTIFS('Extração'!N:N,"Não",'Extração'!J:J,A107)/B107)</f>
        <v/>
      </c>
      <c r="H107" s="12" t="str">
        <f>IF(B107=0,"",COUNTIFS('Extração'!O:O,"Não",'Extração'!J:J,A107)/B107)</f>
        <v/>
      </c>
      <c r="I107" s="12" t="str">
        <f>IF(B107=0,"",COUNTIFS('Extração'!P:P,"Igual",'Extração'!J:J,A107)/B107)</f>
        <v/>
      </c>
    </row>
    <row r="108">
      <c r="B108" s="12">
        <f>COUNTIF('Extração'!J:J,A108)</f>
        <v>0</v>
      </c>
      <c r="C108" s="12" t="str">
        <f>IF(B108=0,"",COUNTIFS('Extração'!N:N,"Sim",'Extração'!J:J,A108)/B108)</f>
        <v/>
      </c>
      <c r="D108" s="12" t="str">
        <f>IF(B108=0,"",COUNTIFS('Extração'!O:O,"Sim",'Extração'!J:J,A108)/B108)</f>
        <v/>
      </c>
      <c r="E108" s="12" t="str">
        <f>IF(B108=0,"",COUNTIFS('Extração'!N:N,"Parcialmente",'Extração'!J:J,A108)/B108)</f>
        <v/>
      </c>
      <c r="F108" s="12" t="str">
        <f>IF(B108=0,"",COUNTIFS('Extração'!O:O,"Parcialmente",'Extração'!J:J,A108)/B108)</f>
        <v/>
      </c>
      <c r="G108" s="12" t="str">
        <f>IF(B108=0,"",COUNTIFS('Extração'!N:N,"Não",'Extração'!J:J,A108)/B108)</f>
        <v/>
      </c>
      <c r="H108" s="12" t="str">
        <f>IF(B108=0,"",COUNTIFS('Extração'!O:O,"Não",'Extração'!J:J,A108)/B108)</f>
        <v/>
      </c>
      <c r="I108" s="12" t="str">
        <f>IF(B108=0,"",COUNTIFS('Extração'!P:P,"Igual",'Extração'!J:J,A108)/B108)</f>
        <v/>
      </c>
    </row>
    <row r="109">
      <c r="B109" s="12">
        <f>COUNTIF('Extração'!J:J,A109)</f>
        <v>0</v>
      </c>
      <c r="C109" s="12" t="str">
        <f>IF(B109=0,"",COUNTIFS('Extração'!N:N,"Sim",'Extração'!J:J,A109)/B109)</f>
        <v/>
      </c>
      <c r="D109" s="12" t="str">
        <f>IF(B109=0,"",COUNTIFS('Extração'!O:O,"Sim",'Extração'!J:J,A109)/B109)</f>
        <v/>
      </c>
      <c r="E109" s="12" t="str">
        <f>IF(B109=0,"",COUNTIFS('Extração'!N:N,"Parcialmente",'Extração'!J:J,A109)/B109)</f>
        <v/>
      </c>
      <c r="F109" s="12" t="str">
        <f>IF(B109=0,"",COUNTIFS('Extração'!O:O,"Parcialmente",'Extração'!J:J,A109)/B109)</f>
        <v/>
      </c>
      <c r="G109" s="12" t="str">
        <f>IF(B109=0,"",COUNTIFS('Extração'!N:N,"Não",'Extração'!J:J,A109)/B109)</f>
        <v/>
      </c>
      <c r="H109" s="12" t="str">
        <f>IF(B109=0,"",COUNTIFS('Extração'!O:O,"Não",'Extração'!J:J,A109)/B109)</f>
        <v/>
      </c>
      <c r="I109" s="12" t="str">
        <f>IF(B109=0,"",COUNTIFS('Extração'!P:P,"Igual",'Extração'!J:J,A109)/B109)</f>
        <v/>
      </c>
    </row>
    <row r="110">
      <c r="B110" s="12">
        <f>COUNTIF('Extração'!J:J,A110)</f>
        <v>0</v>
      </c>
      <c r="C110" s="12" t="str">
        <f>IF(B110=0,"",COUNTIFS('Extração'!N:N,"Sim",'Extração'!J:J,A110)/B110)</f>
        <v/>
      </c>
      <c r="D110" s="12" t="str">
        <f>IF(B110=0,"",COUNTIFS('Extração'!O:O,"Sim",'Extração'!J:J,A110)/B110)</f>
        <v/>
      </c>
      <c r="E110" s="12" t="str">
        <f>IF(B110=0,"",COUNTIFS('Extração'!N:N,"Parcialmente",'Extração'!J:J,A110)/B110)</f>
        <v/>
      </c>
      <c r="F110" s="12" t="str">
        <f>IF(B110=0,"",COUNTIFS('Extração'!O:O,"Parcialmente",'Extração'!J:J,A110)/B110)</f>
        <v/>
      </c>
      <c r="G110" s="12" t="str">
        <f>IF(B110=0,"",COUNTIFS('Extração'!N:N,"Não",'Extração'!J:J,A110)/B110)</f>
        <v/>
      </c>
      <c r="H110" s="12" t="str">
        <f>IF(B110=0,"",COUNTIFS('Extração'!O:O,"Não",'Extração'!J:J,A110)/B110)</f>
        <v/>
      </c>
      <c r="I110" s="12" t="str">
        <f>IF(B110=0,"",COUNTIFS('Extração'!P:P,"Igual",'Extração'!J:J,A110)/B110)</f>
        <v/>
      </c>
    </row>
    <row r="111">
      <c r="B111" s="12">
        <f>COUNTIF('Extração'!J:J,A111)</f>
        <v>0</v>
      </c>
      <c r="C111" s="12" t="str">
        <f>IF(B111=0,"",COUNTIFS('Extração'!N:N,"Sim",'Extração'!J:J,A111)/B111)</f>
        <v/>
      </c>
      <c r="D111" s="12" t="str">
        <f>IF(B111=0,"",COUNTIFS('Extração'!O:O,"Sim",'Extração'!J:J,A111)/B111)</f>
        <v/>
      </c>
      <c r="E111" s="12" t="str">
        <f>IF(B111=0,"",COUNTIFS('Extração'!N:N,"Parcialmente",'Extração'!J:J,A111)/B111)</f>
        <v/>
      </c>
      <c r="F111" s="12" t="str">
        <f>IF(B111=0,"",COUNTIFS('Extração'!O:O,"Parcialmente",'Extração'!J:J,A111)/B111)</f>
        <v/>
      </c>
      <c r="G111" s="12" t="str">
        <f>IF(B111=0,"",COUNTIFS('Extração'!N:N,"Não",'Extração'!J:J,A111)/B111)</f>
        <v/>
      </c>
      <c r="H111" s="12" t="str">
        <f>IF(B111=0,"",COUNTIFS('Extração'!O:O,"Não",'Extração'!J:J,A111)/B111)</f>
        <v/>
      </c>
      <c r="I111" s="12" t="str">
        <f>IF(B111=0,"",COUNTIFS('Extração'!P:P,"Igual",'Extração'!J:J,A111)/B111)</f>
        <v/>
      </c>
    </row>
    <row r="112">
      <c r="B112" s="12">
        <f>COUNTIF('Extração'!J:J,A112)</f>
        <v>0</v>
      </c>
      <c r="C112" s="12" t="str">
        <f>IF(B112=0,"",COUNTIFS('Extração'!N:N,"Sim",'Extração'!J:J,A112)/B112)</f>
        <v/>
      </c>
      <c r="D112" s="12" t="str">
        <f>IF(B112=0,"",COUNTIFS('Extração'!O:O,"Sim",'Extração'!J:J,A112)/B112)</f>
        <v/>
      </c>
      <c r="E112" s="12" t="str">
        <f>IF(B112=0,"",COUNTIFS('Extração'!N:N,"Parcialmente",'Extração'!J:J,A112)/B112)</f>
        <v/>
      </c>
      <c r="F112" s="12" t="str">
        <f>IF(B112=0,"",COUNTIFS('Extração'!O:O,"Parcialmente",'Extração'!J:J,A112)/B112)</f>
        <v/>
      </c>
      <c r="G112" s="12" t="str">
        <f>IF(B112=0,"",COUNTIFS('Extração'!N:N,"Não",'Extração'!J:J,A112)/B112)</f>
        <v/>
      </c>
      <c r="H112" s="12" t="str">
        <f>IF(B112=0,"",COUNTIFS('Extração'!O:O,"Não",'Extração'!J:J,A112)/B112)</f>
        <v/>
      </c>
      <c r="I112" s="12" t="str">
        <f>IF(B112=0,"",COUNTIFS('Extração'!P:P,"Igual",'Extração'!J:J,A112)/B112)</f>
        <v/>
      </c>
    </row>
    <row r="113">
      <c r="B113" s="12">
        <f>COUNTIF('Extração'!J:J,A113)</f>
        <v>0</v>
      </c>
      <c r="C113" s="12" t="str">
        <f>IF(B113=0,"",COUNTIFS('Extração'!N:N,"Sim",'Extração'!J:J,A113)/B113)</f>
        <v/>
      </c>
      <c r="D113" s="12" t="str">
        <f>IF(B113=0,"",COUNTIFS('Extração'!O:O,"Sim",'Extração'!J:J,A113)/B113)</f>
        <v/>
      </c>
      <c r="E113" s="12" t="str">
        <f>IF(B113=0,"",COUNTIFS('Extração'!N:N,"Parcialmente",'Extração'!J:J,A113)/B113)</f>
        <v/>
      </c>
      <c r="F113" s="12" t="str">
        <f>IF(B113=0,"",COUNTIFS('Extração'!O:O,"Parcialmente",'Extração'!J:J,A113)/B113)</f>
        <v/>
      </c>
      <c r="G113" s="12" t="str">
        <f>IF(B113=0,"",COUNTIFS('Extração'!N:N,"Não",'Extração'!J:J,A113)/B113)</f>
        <v/>
      </c>
      <c r="H113" s="12" t="str">
        <f>IF(B113=0,"",COUNTIFS('Extração'!O:O,"Não",'Extração'!J:J,A113)/B113)</f>
        <v/>
      </c>
      <c r="I113" s="12" t="str">
        <f>IF(B113=0,"",COUNTIFS('Extração'!P:P,"Igual",'Extração'!J:J,A113)/B113)</f>
        <v/>
      </c>
    </row>
    <row r="114">
      <c r="B114" s="12">
        <f>COUNTIF('Extração'!J:J,A114)</f>
        <v>0</v>
      </c>
      <c r="C114" s="12" t="str">
        <f>IF(B114=0,"",COUNTIFS('Extração'!N:N,"Sim",'Extração'!J:J,A114)/B114)</f>
        <v/>
      </c>
      <c r="D114" s="12" t="str">
        <f>IF(B114=0,"",COUNTIFS('Extração'!O:O,"Sim",'Extração'!J:J,A114)/B114)</f>
        <v/>
      </c>
      <c r="E114" s="12" t="str">
        <f>IF(B114=0,"",COUNTIFS('Extração'!N:N,"Parcialmente",'Extração'!J:J,A114)/B114)</f>
        <v/>
      </c>
      <c r="F114" s="12" t="str">
        <f>IF(B114=0,"",COUNTIFS('Extração'!O:O,"Parcialmente",'Extração'!J:J,A114)/B114)</f>
        <v/>
      </c>
      <c r="G114" s="12" t="str">
        <f>IF(B114=0,"",COUNTIFS('Extração'!N:N,"Não",'Extração'!J:J,A114)/B114)</f>
        <v/>
      </c>
      <c r="H114" s="12" t="str">
        <f>IF(B114=0,"",COUNTIFS('Extração'!O:O,"Não",'Extração'!J:J,A114)/B114)</f>
        <v/>
      </c>
      <c r="I114" s="12" t="str">
        <f>IF(B114=0,"",COUNTIFS('Extração'!P:P,"Igual",'Extração'!J:J,A114)/B114)</f>
        <v/>
      </c>
    </row>
    <row r="115">
      <c r="B115" s="12">
        <f>COUNTIF('Extração'!J:J,A115)</f>
        <v>0</v>
      </c>
      <c r="C115" s="12" t="str">
        <f>IF(B115=0,"",COUNTIFS('Extração'!N:N,"Sim",'Extração'!J:J,A115)/B115)</f>
        <v/>
      </c>
      <c r="D115" s="12" t="str">
        <f>IF(B115=0,"",COUNTIFS('Extração'!O:O,"Sim",'Extração'!J:J,A115)/B115)</f>
        <v/>
      </c>
      <c r="E115" s="12" t="str">
        <f>IF(B115=0,"",COUNTIFS('Extração'!N:N,"Parcialmente",'Extração'!J:J,A115)/B115)</f>
        <v/>
      </c>
      <c r="F115" s="12" t="str">
        <f>IF(B115=0,"",COUNTIFS('Extração'!O:O,"Parcialmente",'Extração'!J:J,A115)/B115)</f>
        <v/>
      </c>
      <c r="G115" s="12" t="str">
        <f>IF(B115=0,"",COUNTIFS('Extração'!N:N,"Não",'Extração'!J:J,A115)/B115)</f>
        <v/>
      </c>
      <c r="H115" s="12" t="str">
        <f>IF(B115=0,"",COUNTIFS('Extração'!O:O,"Não",'Extração'!J:J,A115)/B115)</f>
        <v/>
      </c>
      <c r="I115" s="12" t="str">
        <f>IF(B115=0,"",COUNTIFS('Extração'!P:P,"Igual",'Extração'!J:J,A115)/B115)</f>
        <v/>
      </c>
    </row>
    <row r="116">
      <c r="B116" s="12">
        <f>COUNTIF('Extração'!J:J,A116)</f>
        <v>0</v>
      </c>
      <c r="C116" s="12" t="str">
        <f>IF(B116=0,"",COUNTIFS('Extração'!N:N,"Sim",'Extração'!J:J,A116)/B116)</f>
        <v/>
      </c>
      <c r="D116" s="12" t="str">
        <f>IF(B116=0,"",COUNTIFS('Extração'!O:O,"Sim",'Extração'!J:J,A116)/B116)</f>
        <v/>
      </c>
      <c r="E116" s="12" t="str">
        <f>IF(B116=0,"",COUNTIFS('Extração'!N:N,"Parcialmente",'Extração'!J:J,A116)/B116)</f>
        <v/>
      </c>
      <c r="F116" s="12" t="str">
        <f>IF(B116=0,"",COUNTIFS('Extração'!O:O,"Parcialmente",'Extração'!J:J,A116)/B116)</f>
        <v/>
      </c>
      <c r="G116" s="12" t="str">
        <f>IF(B116=0,"",COUNTIFS('Extração'!N:N,"Não",'Extração'!J:J,A116)/B116)</f>
        <v/>
      </c>
      <c r="H116" s="12" t="str">
        <f>IF(B116=0,"",COUNTIFS('Extração'!O:O,"Não",'Extração'!J:J,A116)/B116)</f>
        <v/>
      </c>
      <c r="I116" s="12" t="str">
        <f>IF(B116=0,"",COUNTIFS('Extração'!P:P,"Igual",'Extração'!J:J,A116)/B116)</f>
        <v/>
      </c>
    </row>
    <row r="117">
      <c r="B117" s="12">
        <f>COUNTIF('Extração'!J:J,A117)</f>
        <v>0</v>
      </c>
      <c r="C117" s="12" t="str">
        <f>IF(B117=0,"",COUNTIFS('Extração'!N:N,"Sim",'Extração'!J:J,A117)/B117)</f>
        <v/>
      </c>
      <c r="D117" s="12" t="str">
        <f>IF(B117=0,"",COUNTIFS('Extração'!O:O,"Sim",'Extração'!J:J,A117)/B117)</f>
        <v/>
      </c>
      <c r="E117" s="12" t="str">
        <f>IF(B117=0,"",COUNTIFS('Extração'!N:N,"Parcialmente",'Extração'!J:J,A117)/B117)</f>
        <v/>
      </c>
      <c r="F117" s="12" t="str">
        <f>IF(B117=0,"",COUNTIFS('Extração'!O:O,"Parcialmente",'Extração'!J:J,A117)/B117)</f>
        <v/>
      </c>
      <c r="G117" s="12" t="str">
        <f>IF(B117=0,"",COUNTIFS('Extração'!N:N,"Não",'Extração'!J:J,A117)/B117)</f>
        <v/>
      </c>
      <c r="H117" s="12" t="str">
        <f>IF(B117=0,"",COUNTIFS('Extração'!O:O,"Não",'Extração'!J:J,A117)/B117)</f>
        <v/>
      </c>
      <c r="I117" s="12" t="str">
        <f>IF(B117=0,"",COUNTIFS('Extração'!P:P,"Igual",'Extração'!J:J,A117)/B117)</f>
        <v/>
      </c>
    </row>
    <row r="118">
      <c r="B118" s="12">
        <f>COUNTIF('Extração'!J:J,A118)</f>
        <v>0</v>
      </c>
      <c r="C118" s="12" t="str">
        <f>IF(B118=0,"",COUNTIFS('Extração'!N:N,"Sim",'Extração'!J:J,A118)/B118)</f>
        <v/>
      </c>
      <c r="D118" s="12" t="str">
        <f>IF(B118=0,"",COUNTIFS('Extração'!O:O,"Sim",'Extração'!J:J,A118)/B118)</f>
        <v/>
      </c>
      <c r="E118" s="12" t="str">
        <f>IF(B118=0,"",COUNTIFS('Extração'!N:N,"Parcialmente",'Extração'!J:J,A118)/B118)</f>
        <v/>
      </c>
      <c r="F118" s="12" t="str">
        <f>IF(B118=0,"",COUNTIFS('Extração'!O:O,"Parcialmente",'Extração'!J:J,A118)/B118)</f>
        <v/>
      </c>
      <c r="G118" s="12" t="str">
        <f>IF(B118=0,"",COUNTIFS('Extração'!N:N,"Não",'Extração'!J:J,A118)/B118)</f>
        <v/>
      </c>
      <c r="H118" s="12" t="str">
        <f>IF(B118=0,"",COUNTIFS('Extração'!O:O,"Não",'Extração'!J:J,A118)/B118)</f>
        <v/>
      </c>
      <c r="I118" s="12" t="str">
        <f>IF(B118=0,"",COUNTIFS('Extração'!P:P,"Igual",'Extração'!J:J,A118)/B118)</f>
        <v/>
      </c>
    </row>
    <row r="119">
      <c r="B119" s="12">
        <f>COUNTIF('Extração'!J:J,A119)</f>
        <v>0</v>
      </c>
      <c r="C119" s="12" t="str">
        <f>IF(B119=0,"",COUNTIFS('Extração'!N:N,"Sim",'Extração'!J:J,A119)/B119)</f>
        <v/>
      </c>
      <c r="D119" s="12" t="str">
        <f>IF(B119=0,"",COUNTIFS('Extração'!O:O,"Sim",'Extração'!J:J,A119)/B119)</f>
        <v/>
      </c>
      <c r="E119" s="12" t="str">
        <f>IF(B119=0,"",COUNTIFS('Extração'!N:N,"Parcialmente",'Extração'!J:J,A119)/B119)</f>
        <v/>
      </c>
      <c r="F119" s="12" t="str">
        <f>IF(B119=0,"",COUNTIFS('Extração'!O:O,"Parcialmente",'Extração'!J:J,A119)/B119)</f>
        <v/>
      </c>
      <c r="G119" s="12" t="str">
        <f>IF(B119=0,"",COUNTIFS('Extração'!N:N,"Não",'Extração'!J:J,A119)/B119)</f>
        <v/>
      </c>
      <c r="H119" s="12" t="str">
        <f>IF(B119=0,"",COUNTIFS('Extração'!O:O,"Não",'Extração'!J:J,A119)/B119)</f>
        <v/>
      </c>
      <c r="I119" s="12" t="str">
        <f>IF(B119=0,"",COUNTIFS('Extração'!P:P,"Igual",'Extração'!J:J,A119)/B119)</f>
        <v/>
      </c>
    </row>
    <row r="120">
      <c r="B120" s="12">
        <f>COUNTIF('Extração'!J:J,A120)</f>
        <v>0</v>
      </c>
      <c r="C120" s="12" t="str">
        <f>IF(B120=0,"",COUNTIFS('Extração'!N:N,"Sim",'Extração'!J:J,A120)/B120)</f>
        <v/>
      </c>
      <c r="D120" s="12" t="str">
        <f>IF(B120=0,"",COUNTIFS('Extração'!O:O,"Sim",'Extração'!J:J,A120)/B120)</f>
        <v/>
      </c>
      <c r="E120" s="12" t="str">
        <f>IF(B120=0,"",COUNTIFS('Extração'!N:N,"Parcialmente",'Extração'!J:J,A120)/B120)</f>
        <v/>
      </c>
      <c r="F120" s="12" t="str">
        <f>IF(B120=0,"",COUNTIFS('Extração'!O:O,"Parcialmente",'Extração'!J:J,A120)/B120)</f>
        <v/>
      </c>
      <c r="G120" s="12" t="str">
        <f>IF(B120=0,"",COUNTIFS('Extração'!N:N,"Não",'Extração'!J:J,A120)/B120)</f>
        <v/>
      </c>
      <c r="H120" s="12" t="str">
        <f>IF(B120=0,"",COUNTIFS('Extração'!O:O,"Não",'Extração'!J:J,A120)/B120)</f>
        <v/>
      </c>
      <c r="I120" s="12" t="str">
        <f>IF(B120=0,"",COUNTIFS('Extração'!P:P,"Igual",'Extração'!J:J,A120)/B120)</f>
        <v/>
      </c>
    </row>
    <row r="121">
      <c r="B121" s="12">
        <f>COUNTIF('Extração'!J:J,A121)</f>
        <v>0</v>
      </c>
      <c r="C121" s="12" t="str">
        <f>IF(B121=0,"",COUNTIFS('Extração'!N:N,"Sim",'Extração'!J:J,A121)/B121)</f>
        <v/>
      </c>
      <c r="D121" s="12" t="str">
        <f>IF(B121=0,"",COUNTIFS('Extração'!O:O,"Sim",'Extração'!J:J,A121)/B121)</f>
        <v/>
      </c>
      <c r="E121" s="12" t="str">
        <f>IF(B121=0,"",COUNTIFS('Extração'!N:N,"Parcialmente",'Extração'!J:J,A121)/B121)</f>
        <v/>
      </c>
      <c r="F121" s="12" t="str">
        <f>IF(B121=0,"",COUNTIFS('Extração'!O:O,"Parcialmente",'Extração'!J:J,A121)/B121)</f>
        <v/>
      </c>
      <c r="G121" s="12" t="str">
        <f>IF(B121=0,"",COUNTIFS('Extração'!N:N,"Não",'Extração'!J:J,A121)/B121)</f>
        <v/>
      </c>
      <c r="H121" s="12" t="str">
        <f>IF(B121=0,"",COUNTIFS('Extração'!O:O,"Não",'Extração'!J:J,A121)/B121)</f>
        <v/>
      </c>
      <c r="I121" s="12" t="str">
        <f>IF(B121=0,"",COUNTIFS('Extração'!P:P,"Igual",'Extração'!J:J,A121)/B121)</f>
        <v/>
      </c>
    </row>
    <row r="122">
      <c r="B122" s="12">
        <f>COUNTIF('Extração'!J:J,A122)</f>
        <v>0</v>
      </c>
      <c r="C122" s="12" t="str">
        <f>IF(B122=0,"",COUNTIFS('Extração'!N:N,"Sim",'Extração'!J:J,A122)/B122)</f>
        <v/>
      </c>
      <c r="D122" s="12" t="str">
        <f>IF(B122=0,"",COUNTIFS('Extração'!O:O,"Sim",'Extração'!J:J,A122)/B122)</f>
        <v/>
      </c>
      <c r="E122" s="12" t="str">
        <f>IF(B122=0,"",COUNTIFS('Extração'!N:N,"Parcialmente",'Extração'!J:J,A122)/B122)</f>
        <v/>
      </c>
      <c r="F122" s="12" t="str">
        <f>IF(B122=0,"",COUNTIFS('Extração'!O:O,"Parcialmente",'Extração'!J:J,A122)/B122)</f>
        <v/>
      </c>
      <c r="G122" s="12" t="str">
        <f>IF(B122=0,"",COUNTIFS('Extração'!N:N,"Não",'Extração'!J:J,A122)/B122)</f>
        <v/>
      </c>
      <c r="H122" s="12" t="str">
        <f>IF(B122=0,"",COUNTIFS('Extração'!O:O,"Não",'Extração'!J:J,A122)/B122)</f>
        <v/>
      </c>
      <c r="I122" s="12" t="str">
        <f>IF(B122=0,"",COUNTIFS('Extração'!P:P,"Igual",'Extração'!J:J,A122)/B122)</f>
        <v/>
      </c>
    </row>
    <row r="123">
      <c r="B123" s="12">
        <f>COUNTIF('Extração'!J:J,A123)</f>
        <v>0</v>
      </c>
      <c r="C123" s="12" t="str">
        <f>IF(B123=0,"",COUNTIFS('Extração'!N:N,"Sim",'Extração'!J:J,A123)/B123)</f>
        <v/>
      </c>
      <c r="D123" s="12" t="str">
        <f>IF(B123=0,"",COUNTIFS('Extração'!O:O,"Sim",'Extração'!J:J,A123)/B123)</f>
        <v/>
      </c>
      <c r="E123" s="12" t="str">
        <f>IF(B123=0,"",COUNTIFS('Extração'!N:N,"Parcialmente",'Extração'!J:J,A123)/B123)</f>
        <v/>
      </c>
      <c r="F123" s="12" t="str">
        <f>IF(B123=0,"",COUNTIFS('Extração'!O:O,"Parcialmente",'Extração'!J:J,A123)/B123)</f>
        <v/>
      </c>
      <c r="G123" s="12" t="str">
        <f>IF(B123=0,"",COUNTIFS('Extração'!N:N,"Não",'Extração'!J:J,A123)/B123)</f>
        <v/>
      </c>
      <c r="H123" s="12" t="str">
        <f>IF(B123=0,"",COUNTIFS('Extração'!O:O,"Não",'Extração'!J:J,A123)/B123)</f>
        <v/>
      </c>
      <c r="I123" s="12" t="str">
        <f>IF(B123=0,"",COUNTIFS('Extração'!P:P,"Igual",'Extração'!J:J,A123)/B123)</f>
        <v/>
      </c>
    </row>
    <row r="124">
      <c r="B124" s="12">
        <f>COUNTIF('Extração'!J:J,A124)</f>
        <v>0</v>
      </c>
      <c r="C124" s="12" t="str">
        <f>IF(B124=0,"",COUNTIFS('Extração'!N:N,"Sim",'Extração'!J:J,A124)/B124)</f>
        <v/>
      </c>
      <c r="D124" s="12" t="str">
        <f>IF(B124=0,"",COUNTIFS('Extração'!O:O,"Sim",'Extração'!J:J,A124)/B124)</f>
        <v/>
      </c>
      <c r="E124" s="12" t="str">
        <f>IF(B124=0,"",COUNTIFS('Extração'!N:N,"Parcialmente",'Extração'!J:J,A124)/B124)</f>
        <v/>
      </c>
      <c r="F124" s="12" t="str">
        <f>IF(B124=0,"",COUNTIFS('Extração'!O:O,"Parcialmente",'Extração'!J:J,A124)/B124)</f>
        <v/>
      </c>
      <c r="G124" s="12" t="str">
        <f>IF(B124=0,"",COUNTIFS('Extração'!N:N,"Não",'Extração'!J:J,A124)/B124)</f>
        <v/>
      </c>
      <c r="H124" s="12" t="str">
        <f>IF(B124=0,"",COUNTIFS('Extração'!O:O,"Não",'Extração'!J:J,A124)/B124)</f>
        <v/>
      </c>
      <c r="I124" s="12" t="str">
        <f>IF(B124=0,"",COUNTIFS('Extração'!P:P,"Igual",'Extração'!J:J,A124)/B124)</f>
        <v/>
      </c>
    </row>
    <row r="125">
      <c r="B125" s="12">
        <f>COUNTIF('Extração'!J:J,A125)</f>
        <v>0</v>
      </c>
      <c r="C125" s="12" t="str">
        <f>IF(B125=0,"",COUNTIFS('Extração'!N:N,"Sim",'Extração'!J:J,A125)/B125)</f>
        <v/>
      </c>
      <c r="D125" s="12" t="str">
        <f>IF(B125=0,"",COUNTIFS('Extração'!O:O,"Sim",'Extração'!J:J,A125)/B125)</f>
        <v/>
      </c>
      <c r="E125" s="12" t="str">
        <f>IF(B125=0,"",COUNTIFS('Extração'!N:N,"Parcialmente",'Extração'!J:J,A125)/B125)</f>
        <v/>
      </c>
      <c r="F125" s="12" t="str">
        <f>IF(B125=0,"",COUNTIFS('Extração'!O:O,"Parcialmente",'Extração'!J:J,A125)/B125)</f>
        <v/>
      </c>
      <c r="G125" s="12" t="str">
        <f>IF(B125=0,"",COUNTIFS('Extração'!N:N,"Não",'Extração'!J:J,A125)/B125)</f>
        <v/>
      </c>
      <c r="H125" s="12" t="str">
        <f>IF(B125=0,"",COUNTIFS('Extração'!O:O,"Não",'Extração'!J:J,A125)/B125)</f>
        <v/>
      </c>
      <c r="I125" s="12" t="str">
        <f>IF(B125=0,"",COUNTIFS('Extração'!P:P,"Igual",'Extração'!J:J,A125)/B125)</f>
        <v/>
      </c>
    </row>
    <row r="126">
      <c r="B126" s="12">
        <f>COUNTIF('Extração'!J:J,A126)</f>
        <v>0</v>
      </c>
      <c r="C126" s="12" t="str">
        <f>IF(B126=0,"",COUNTIFS('Extração'!N:N,"Sim",'Extração'!J:J,A126)/B126)</f>
        <v/>
      </c>
      <c r="D126" s="12" t="str">
        <f>IF(B126=0,"",COUNTIFS('Extração'!O:O,"Sim",'Extração'!J:J,A126)/B126)</f>
        <v/>
      </c>
      <c r="E126" s="12" t="str">
        <f>IF(B126=0,"",COUNTIFS('Extração'!N:N,"Parcialmente",'Extração'!J:J,A126)/B126)</f>
        <v/>
      </c>
      <c r="F126" s="12" t="str">
        <f>IF(B126=0,"",COUNTIFS('Extração'!O:O,"Parcialmente",'Extração'!J:J,A126)/B126)</f>
        <v/>
      </c>
      <c r="G126" s="12" t="str">
        <f>IF(B126=0,"",COUNTIFS('Extração'!N:N,"Não",'Extração'!J:J,A126)/B126)</f>
        <v/>
      </c>
      <c r="H126" s="12" t="str">
        <f>IF(B126=0,"",COUNTIFS('Extração'!O:O,"Não",'Extração'!J:J,A126)/B126)</f>
        <v/>
      </c>
      <c r="I126" s="12" t="str">
        <f>IF(B126=0,"",COUNTIFS('Extração'!P:P,"Igual",'Extração'!J:J,A126)/B126)</f>
        <v/>
      </c>
    </row>
    <row r="127">
      <c r="B127" s="12">
        <f>COUNTIF('Extração'!J:J,A127)</f>
        <v>0</v>
      </c>
      <c r="C127" s="12" t="str">
        <f>IF(B127=0,"",COUNTIFS('Extração'!N:N,"Sim",'Extração'!J:J,A127)/B127)</f>
        <v/>
      </c>
      <c r="D127" s="12" t="str">
        <f>IF(B127=0,"",COUNTIFS('Extração'!O:O,"Sim",'Extração'!J:J,A127)/B127)</f>
        <v/>
      </c>
      <c r="E127" s="12" t="str">
        <f>IF(B127=0,"",COUNTIFS('Extração'!N:N,"Parcialmente",'Extração'!J:J,A127)/B127)</f>
        <v/>
      </c>
      <c r="F127" s="12" t="str">
        <f>IF(B127=0,"",COUNTIFS('Extração'!O:O,"Parcialmente",'Extração'!J:J,A127)/B127)</f>
        <v/>
      </c>
      <c r="G127" s="12" t="str">
        <f>IF(B127=0,"",COUNTIFS('Extração'!N:N,"Não",'Extração'!J:J,A127)/B127)</f>
        <v/>
      </c>
      <c r="H127" s="12" t="str">
        <f>IF(B127=0,"",COUNTIFS('Extração'!O:O,"Não",'Extração'!J:J,A127)/B127)</f>
        <v/>
      </c>
      <c r="I127" s="12" t="str">
        <f>IF(B127=0,"",COUNTIFS('Extração'!P:P,"Igual",'Extração'!J:J,A127)/B127)</f>
        <v/>
      </c>
    </row>
    <row r="128">
      <c r="B128" s="12">
        <f>COUNTIF('Extração'!J:J,A128)</f>
        <v>0</v>
      </c>
      <c r="C128" s="12" t="str">
        <f>IF(B128=0,"",COUNTIFS('Extração'!N:N,"Sim",'Extração'!J:J,A128)/B128)</f>
        <v/>
      </c>
      <c r="D128" s="12" t="str">
        <f>IF(B128=0,"",COUNTIFS('Extração'!O:O,"Sim",'Extração'!J:J,A128)/B128)</f>
        <v/>
      </c>
      <c r="E128" s="12" t="str">
        <f>IF(B128=0,"",COUNTIFS('Extração'!N:N,"Parcialmente",'Extração'!J:J,A128)/B128)</f>
        <v/>
      </c>
      <c r="F128" s="12" t="str">
        <f>IF(B128=0,"",COUNTIFS('Extração'!O:O,"Parcialmente",'Extração'!J:J,A128)/B128)</f>
        <v/>
      </c>
      <c r="G128" s="12" t="str">
        <f>IF(B128=0,"",COUNTIFS('Extração'!N:N,"Não",'Extração'!J:J,A128)/B128)</f>
        <v/>
      </c>
      <c r="H128" s="12" t="str">
        <f>IF(B128=0,"",COUNTIFS('Extração'!O:O,"Não",'Extração'!J:J,A128)/B128)</f>
        <v/>
      </c>
      <c r="I128" s="12" t="str">
        <f>IF(B128=0,"",COUNTIFS('Extração'!P:P,"Igual",'Extração'!J:J,A128)/B128)</f>
        <v/>
      </c>
    </row>
    <row r="129">
      <c r="B129" s="12">
        <f>COUNTIF('Extração'!J:J,A129)</f>
        <v>0</v>
      </c>
      <c r="C129" s="12" t="str">
        <f>IF(B129=0,"",COUNTIFS('Extração'!N:N,"Sim",'Extração'!J:J,A129)/B129)</f>
        <v/>
      </c>
      <c r="D129" s="12" t="str">
        <f>IF(B129=0,"",COUNTIFS('Extração'!O:O,"Sim",'Extração'!J:J,A129)/B129)</f>
        <v/>
      </c>
      <c r="E129" s="12" t="str">
        <f>IF(B129=0,"",COUNTIFS('Extração'!N:N,"Parcialmente",'Extração'!J:J,A129)/B129)</f>
        <v/>
      </c>
      <c r="F129" s="12" t="str">
        <f>IF(B129=0,"",COUNTIFS('Extração'!O:O,"Parcialmente",'Extração'!J:J,A129)/B129)</f>
        <v/>
      </c>
      <c r="G129" s="12" t="str">
        <f>IF(B129=0,"",COUNTIFS('Extração'!N:N,"Não",'Extração'!J:J,A129)/B129)</f>
        <v/>
      </c>
      <c r="H129" s="12" t="str">
        <f>IF(B129=0,"",COUNTIFS('Extração'!O:O,"Não",'Extração'!J:J,A129)/B129)</f>
        <v/>
      </c>
      <c r="I129" s="12" t="str">
        <f>IF(B129=0,"",COUNTIFS('Extração'!P:P,"Igual",'Extração'!J:J,A129)/B129)</f>
        <v/>
      </c>
    </row>
    <row r="130">
      <c r="B130" s="12">
        <f>COUNTIF('Extração'!J:J,A130)</f>
        <v>0</v>
      </c>
      <c r="C130" s="12" t="str">
        <f>IF(B130=0,"",COUNTIFS('Extração'!N:N,"Sim",'Extração'!J:J,A130)/B130)</f>
        <v/>
      </c>
      <c r="D130" s="12" t="str">
        <f>IF(B130=0,"",COUNTIFS('Extração'!O:O,"Sim",'Extração'!J:J,A130)/B130)</f>
        <v/>
      </c>
      <c r="E130" s="12" t="str">
        <f>IF(B130=0,"",COUNTIFS('Extração'!N:N,"Parcialmente",'Extração'!J:J,A130)/B130)</f>
        <v/>
      </c>
      <c r="F130" s="12" t="str">
        <f>IF(B130=0,"",COUNTIFS('Extração'!O:O,"Parcialmente",'Extração'!J:J,A130)/B130)</f>
        <v/>
      </c>
      <c r="G130" s="12" t="str">
        <f>IF(B130=0,"",COUNTIFS('Extração'!N:N,"Não",'Extração'!J:J,A130)/B130)</f>
        <v/>
      </c>
      <c r="H130" s="12" t="str">
        <f>IF(B130=0,"",COUNTIFS('Extração'!O:O,"Não",'Extração'!J:J,A130)/B130)</f>
        <v/>
      </c>
      <c r="I130" s="12" t="str">
        <f>IF(B130=0,"",COUNTIFS('Extração'!P:P,"Igual",'Extração'!J:J,A130)/B130)</f>
        <v/>
      </c>
    </row>
    <row r="131">
      <c r="B131" s="12">
        <f>COUNTIF('Extração'!J:J,A131)</f>
        <v>0</v>
      </c>
      <c r="C131" s="12" t="str">
        <f>IF(B131=0,"",COUNTIFS('Extração'!N:N,"Sim",'Extração'!J:J,A131)/B131)</f>
        <v/>
      </c>
      <c r="D131" s="12" t="str">
        <f>IF(B131=0,"",COUNTIFS('Extração'!O:O,"Sim",'Extração'!J:J,A131)/B131)</f>
        <v/>
      </c>
      <c r="E131" s="12" t="str">
        <f>IF(B131=0,"",COUNTIFS('Extração'!N:N,"Parcialmente",'Extração'!J:J,A131)/B131)</f>
        <v/>
      </c>
      <c r="F131" s="12" t="str">
        <f>IF(B131=0,"",COUNTIFS('Extração'!O:O,"Parcialmente",'Extração'!J:J,A131)/B131)</f>
        <v/>
      </c>
      <c r="G131" s="12" t="str">
        <f>IF(B131=0,"",COUNTIFS('Extração'!N:N,"Não",'Extração'!J:J,A131)/B131)</f>
        <v/>
      </c>
      <c r="H131" s="12" t="str">
        <f>IF(B131=0,"",COUNTIFS('Extração'!O:O,"Não",'Extração'!J:J,A131)/B131)</f>
        <v/>
      </c>
      <c r="I131" s="12" t="str">
        <f>IF(B131=0,"",COUNTIFS('Extração'!P:P,"Igual",'Extração'!J:J,A131)/B131)</f>
        <v/>
      </c>
    </row>
    <row r="132">
      <c r="B132" s="12">
        <f>COUNTIF('Extração'!J:J,A132)</f>
        <v>0</v>
      </c>
      <c r="C132" s="12" t="str">
        <f>IF(B132=0,"",COUNTIFS('Extração'!N:N,"Sim",'Extração'!J:J,A132)/B132)</f>
        <v/>
      </c>
      <c r="D132" s="12" t="str">
        <f>IF(B132=0,"",COUNTIFS('Extração'!O:O,"Sim",'Extração'!J:J,A132)/B132)</f>
        <v/>
      </c>
      <c r="E132" s="12" t="str">
        <f>IF(B132=0,"",COUNTIFS('Extração'!N:N,"Parcialmente",'Extração'!J:J,A132)/B132)</f>
        <v/>
      </c>
      <c r="F132" s="12" t="str">
        <f>IF(B132=0,"",COUNTIFS('Extração'!O:O,"Parcialmente",'Extração'!J:J,A132)/B132)</f>
        <v/>
      </c>
      <c r="G132" s="12" t="str">
        <f>IF(B132=0,"",COUNTIFS('Extração'!N:N,"Não",'Extração'!J:J,A132)/B132)</f>
        <v/>
      </c>
      <c r="H132" s="12" t="str">
        <f>IF(B132=0,"",COUNTIFS('Extração'!O:O,"Não",'Extração'!J:J,A132)/B132)</f>
        <v/>
      </c>
      <c r="I132" s="12" t="str">
        <f>IF(B132=0,"",COUNTIFS('Extração'!P:P,"Igual",'Extração'!J:J,A132)/B132)</f>
        <v/>
      </c>
    </row>
    <row r="133">
      <c r="B133" s="12">
        <f>COUNTIF('Extração'!J:J,A133)</f>
        <v>0</v>
      </c>
      <c r="C133" s="12" t="str">
        <f>IF(B133=0,"",COUNTIFS('Extração'!N:N,"Sim",'Extração'!J:J,A133)/B133)</f>
        <v/>
      </c>
      <c r="D133" s="12" t="str">
        <f>IF(B133=0,"",COUNTIFS('Extração'!O:O,"Sim",'Extração'!J:J,A133)/B133)</f>
        <v/>
      </c>
      <c r="E133" s="12" t="str">
        <f>IF(B133=0,"",COUNTIFS('Extração'!N:N,"Parcialmente",'Extração'!J:J,A133)/B133)</f>
        <v/>
      </c>
      <c r="F133" s="12" t="str">
        <f>IF(B133=0,"",COUNTIFS('Extração'!O:O,"Parcialmente",'Extração'!J:J,A133)/B133)</f>
        <v/>
      </c>
      <c r="G133" s="12" t="str">
        <f>IF(B133=0,"",COUNTIFS('Extração'!N:N,"Não",'Extração'!J:J,A133)/B133)</f>
        <v/>
      </c>
      <c r="H133" s="12" t="str">
        <f>IF(B133=0,"",COUNTIFS('Extração'!O:O,"Não",'Extração'!J:J,A133)/B133)</f>
        <v/>
      </c>
      <c r="I133" s="12" t="str">
        <f>IF(B133=0,"",COUNTIFS('Extração'!P:P,"Igual",'Extração'!J:J,A133)/B133)</f>
        <v/>
      </c>
    </row>
    <row r="134">
      <c r="B134" s="12">
        <f>COUNTIF('Extração'!J:J,A134)</f>
        <v>0</v>
      </c>
      <c r="C134" s="12" t="str">
        <f>IF(B134=0,"",COUNTIFS('Extração'!N:N,"Sim",'Extração'!J:J,A134)/B134)</f>
        <v/>
      </c>
      <c r="D134" s="12" t="str">
        <f>IF(B134=0,"",COUNTIFS('Extração'!O:O,"Sim",'Extração'!J:J,A134)/B134)</f>
        <v/>
      </c>
      <c r="E134" s="12" t="str">
        <f>IF(B134=0,"",COUNTIFS('Extração'!N:N,"Parcialmente",'Extração'!J:J,A134)/B134)</f>
        <v/>
      </c>
      <c r="F134" s="12" t="str">
        <f>IF(B134=0,"",COUNTIFS('Extração'!O:O,"Parcialmente",'Extração'!J:J,A134)/B134)</f>
        <v/>
      </c>
      <c r="G134" s="12" t="str">
        <f>IF(B134=0,"",COUNTIFS('Extração'!N:N,"Não",'Extração'!J:J,A134)/B134)</f>
        <v/>
      </c>
      <c r="H134" s="12" t="str">
        <f>IF(B134=0,"",COUNTIFS('Extração'!O:O,"Não",'Extração'!J:J,A134)/B134)</f>
        <v/>
      </c>
      <c r="I134" s="12" t="str">
        <f>IF(B134=0,"",COUNTIFS('Extração'!P:P,"Igual",'Extração'!J:J,A134)/B134)</f>
        <v/>
      </c>
    </row>
    <row r="135">
      <c r="B135" s="12">
        <f>COUNTIF('Extração'!J:J,A135)</f>
        <v>0</v>
      </c>
      <c r="C135" s="12" t="str">
        <f>IF(B135=0,"",COUNTIFS('Extração'!N:N,"Sim",'Extração'!J:J,A135)/B135)</f>
        <v/>
      </c>
      <c r="D135" s="12" t="str">
        <f>IF(B135=0,"",COUNTIFS('Extração'!O:O,"Sim",'Extração'!J:J,A135)/B135)</f>
        <v/>
      </c>
      <c r="E135" s="12" t="str">
        <f>IF(B135=0,"",COUNTIFS('Extração'!N:N,"Parcialmente",'Extração'!J:J,A135)/B135)</f>
        <v/>
      </c>
      <c r="F135" s="12" t="str">
        <f>IF(B135=0,"",COUNTIFS('Extração'!O:O,"Parcialmente",'Extração'!J:J,A135)/B135)</f>
        <v/>
      </c>
      <c r="G135" s="12" t="str">
        <f>IF(B135=0,"",COUNTIFS('Extração'!N:N,"Não",'Extração'!J:J,A135)/B135)</f>
        <v/>
      </c>
      <c r="H135" s="12" t="str">
        <f>IF(B135=0,"",COUNTIFS('Extração'!O:O,"Não",'Extração'!J:J,A135)/B135)</f>
        <v/>
      </c>
      <c r="I135" s="12" t="str">
        <f>IF(B135=0,"",COUNTIFS('Extração'!P:P,"Igual",'Extração'!J:J,A135)/B135)</f>
        <v/>
      </c>
    </row>
    <row r="136">
      <c r="B136" s="12">
        <f>COUNTIF('Extração'!J:J,A136)</f>
        <v>0</v>
      </c>
      <c r="C136" s="12" t="str">
        <f>IF(B136=0,"",COUNTIFS('Extração'!N:N,"Sim",'Extração'!J:J,A136)/B136)</f>
        <v/>
      </c>
      <c r="D136" s="12" t="str">
        <f>IF(B136=0,"",COUNTIFS('Extração'!O:O,"Sim",'Extração'!J:J,A136)/B136)</f>
        <v/>
      </c>
      <c r="E136" s="12" t="str">
        <f>IF(B136=0,"",COUNTIFS('Extração'!N:N,"Parcialmente",'Extração'!J:J,A136)/B136)</f>
        <v/>
      </c>
      <c r="F136" s="12" t="str">
        <f>IF(B136=0,"",COUNTIFS('Extração'!O:O,"Parcialmente",'Extração'!J:J,A136)/B136)</f>
        <v/>
      </c>
      <c r="G136" s="12" t="str">
        <f>IF(B136=0,"",COUNTIFS('Extração'!N:N,"Não",'Extração'!J:J,A136)/B136)</f>
        <v/>
      </c>
      <c r="H136" s="12" t="str">
        <f>IF(B136=0,"",COUNTIFS('Extração'!O:O,"Não",'Extração'!J:J,A136)/B136)</f>
        <v/>
      </c>
      <c r="I136" s="12" t="str">
        <f>IF(B136=0,"",COUNTIFS('Extração'!P:P,"Igual",'Extração'!J:J,A136)/B136)</f>
        <v/>
      </c>
    </row>
    <row r="137">
      <c r="B137" s="12">
        <f>COUNTIF('Extração'!J:J,A137)</f>
        <v>0</v>
      </c>
      <c r="C137" s="12" t="str">
        <f>IF(B137=0,"",COUNTIFS('Extração'!N:N,"Sim",'Extração'!J:J,A137)/B137)</f>
        <v/>
      </c>
      <c r="D137" s="12" t="str">
        <f>IF(B137=0,"",COUNTIFS('Extração'!O:O,"Sim",'Extração'!J:J,A137)/B137)</f>
        <v/>
      </c>
      <c r="E137" s="12" t="str">
        <f>IF(B137=0,"",COUNTIFS('Extração'!N:N,"Parcialmente",'Extração'!J:J,A137)/B137)</f>
        <v/>
      </c>
      <c r="F137" s="12" t="str">
        <f>IF(B137=0,"",COUNTIFS('Extração'!O:O,"Parcialmente",'Extração'!J:J,A137)/B137)</f>
        <v/>
      </c>
      <c r="G137" s="12" t="str">
        <f>IF(B137=0,"",COUNTIFS('Extração'!N:N,"Não",'Extração'!J:J,A137)/B137)</f>
        <v/>
      </c>
      <c r="H137" s="12" t="str">
        <f>IF(B137=0,"",COUNTIFS('Extração'!O:O,"Não",'Extração'!J:J,A137)/B137)</f>
        <v/>
      </c>
      <c r="I137" s="12" t="str">
        <f>IF(B137=0,"",COUNTIFS('Extração'!P:P,"Igual",'Extração'!J:J,A137)/B137)</f>
        <v/>
      </c>
    </row>
    <row r="138">
      <c r="B138" s="12">
        <f>COUNTIF('Extração'!J:J,A138)</f>
        <v>0</v>
      </c>
      <c r="C138" s="12" t="str">
        <f>IF(B138=0,"",COUNTIFS('Extração'!N:N,"Sim",'Extração'!J:J,A138)/B138)</f>
        <v/>
      </c>
      <c r="D138" s="12" t="str">
        <f>IF(B138=0,"",COUNTIFS('Extração'!O:O,"Sim",'Extração'!J:J,A138)/B138)</f>
        <v/>
      </c>
      <c r="E138" s="12" t="str">
        <f>IF(B138=0,"",COUNTIFS('Extração'!N:N,"Parcialmente",'Extração'!J:J,A138)/B138)</f>
        <v/>
      </c>
      <c r="F138" s="12" t="str">
        <f>IF(B138=0,"",COUNTIFS('Extração'!O:O,"Parcialmente",'Extração'!J:J,A138)/B138)</f>
        <v/>
      </c>
      <c r="G138" s="12" t="str">
        <f>IF(B138=0,"",COUNTIFS('Extração'!N:N,"Não",'Extração'!J:J,A138)/B138)</f>
        <v/>
      </c>
      <c r="H138" s="12" t="str">
        <f>IF(B138=0,"",COUNTIFS('Extração'!O:O,"Não",'Extração'!J:J,A138)/B138)</f>
        <v/>
      </c>
      <c r="I138" s="12" t="str">
        <f>IF(B138=0,"",COUNTIFS('Extração'!P:P,"Igual",'Extração'!J:J,A138)/B138)</f>
        <v/>
      </c>
    </row>
    <row r="139">
      <c r="B139" s="12">
        <f>COUNTIF('Extração'!J:J,A139)</f>
        <v>0</v>
      </c>
      <c r="C139" s="12" t="str">
        <f>IF(B139=0,"",COUNTIFS('Extração'!N:N,"Sim",'Extração'!J:J,A139)/B139)</f>
        <v/>
      </c>
      <c r="D139" s="12" t="str">
        <f>IF(B139=0,"",COUNTIFS('Extração'!O:O,"Sim",'Extração'!J:J,A139)/B139)</f>
        <v/>
      </c>
      <c r="E139" s="12" t="str">
        <f>IF(B139=0,"",COUNTIFS('Extração'!N:N,"Parcialmente",'Extração'!J:J,A139)/B139)</f>
        <v/>
      </c>
      <c r="F139" s="12" t="str">
        <f>IF(B139=0,"",COUNTIFS('Extração'!O:O,"Parcialmente",'Extração'!J:J,A139)/B139)</f>
        <v/>
      </c>
      <c r="G139" s="12" t="str">
        <f>IF(B139=0,"",COUNTIFS('Extração'!N:N,"Não",'Extração'!J:J,A139)/B139)</f>
        <v/>
      </c>
      <c r="H139" s="12" t="str">
        <f>IF(B139=0,"",COUNTIFS('Extração'!O:O,"Não",'Extração'!J:J,A139)/B139)</f>
        <v/>
      </c>
      <c r="I139" s="12" t="str">
        <f>IF(B139=0,"",COUNTIFS('Extração'!P:P,"Igual",'Extração'!J:J,A139)/B139)</f>
        <v/>
      </c>
    </row>
    <row r="140">
      <c r="B140" s="12">
        <f>COUNTIF('Extração'!J:J,A140)</f>
        <v>0</v>
      </c>
      <c r="C140" s="12" t="str">
        <f>IF(B140=0,"",COUNTIFS('Extração'!N:N,"Sim",'Extração'!J:J,A140)/B140)</f>
        <v/>
      </c>
      <c r="D140" s="12" t="str">
        <f>IF(B140=0,"",COUNTIFS('Extração'!O:O,"Sim",'Extração'!J:J,A140)/B140)</f>
        <v/>
      </c>
      <c r="E140" s="12" t="str">
        <f>IF(B140=0,"",COUNTIFS('Extração'!N:N,"Parcialmente",'Extração'!J:J,A140)/B140)</f>
        <v/>
      </c>
      <c r="F140" s="12" t="str">
        <f>IF(B140=0,"",COUNTIFS('Extração'!O:O,"Parcialmente",'Extração'!J:J,A140)/B140)</f>
        <v/>
      </c>
      <c r="G140" s="12" t="str">
        <f>IF(B140=0,"",COUNTIFS('Extração'!N:N,"Não",'Extração'!J:J,A140)/B140)</f>
        <v/>
      </c>
      <c r="H140" s="12" t="str">
        <f>IF(B140=0,"",COUNTIFS('Extração'!O:O,"Não",'Extração'!J:J,A140)/B140)</f>
        <v/>
      </c>
      <c r="I140" s="12" t="str">
        <f>IF(B140=0,"",COUNTIFS('Extração'!P:P,"Igual",'Extração'!J:J,A140)/B140)</f>
        <v/>
      </c>
    </row>
    <row r="141">
      <c r="B141" s="12">
        <f>COUNTIF('Extração'!J:J,A141)</f>
        <v>0</v>
      </c>
      <c r="C141" s="12" t="str">
        <f>IF(B141=0,"",COUNTIFS('Extração'!N:N,"Sim",'Extração'!J:J,A141)/B141)</f>
        <v/>
      </c>
      <c r="D141" s="12" t="str">
        <f>IF(B141=0,"",COUNTIFS('Extração'!O:O,"Sim",'Extração'!J:J,A141)/B141)</f>
        <v/>
      </c>
      <c r="E141" s="12" t="str">
        <f>IF(B141=0,"",COUNTIFS('Extração'!N:N,"Parcialmente",'Extração'!J:J,A141)/B141)</f>
        <v/>
      </c>
      <c r="F141" s="12" t="str">
        <f>IF(B141=0,"",COUNTIFS('Extração'!O:O,"Parcialmente",'Extração'!J:J,A141)/B141)</f>
        <v/>
      </c>
      <c r="G141" s="12" t="str">
        <f>IF(B141=0,"",COUNTIFS('Extração'!N:N,"Não",'Extração'!J:J,A141)/B141)</f>
        <v/>
      </c>
      <c r="H141" s="12" t="str">
        <f>IF(B141=0,"",COUNTIFS('Extração'!O:O,"Não",'Extração'!J:J,A141)/B141)</f>
        <v/>
      </c>
      <c r="I141" s="12" t="str">
        <f>IF(B141=0,"",COUNTIFS('Extração'!P:P,"Igual",'Extração'!J:J,A141)/B141)</f>
        <v/>
      </c>
    </row>
    <row r="142">
      <c r="B142" s="12">
        <f>COUNTIF('Extração'!J:J,A142)</f>
        <v>0</v>
      </c>
      <c r="C142" s="12" t="str">
        <f>IF(B142=0,"",COUNTIFS('Extração'!N:N,"Sim",'Extração'!J:J,A142)/B142)</f>
        <v/>
      </c>
      <c r="D142" s="12" t="str">
        <f>IF(B142=0,"",COUNTIFS('Extração'!O:O,"Sim",'Extração'!J:J,A142)/B142)</f>
        <v/>
      </c>
      <c r="E142" s="12" t="str">
        <f>IF(B142=0,"",COUNTIFS('Extração'!N:N,"Parcialmente",'Extração'!J:J,A142)/B142)</f>
        <v/>
      </c>
      <c r="F142" s="12" t="str">
        <f>IF(B142=0,"",COUNTIFS('Extração'!O:O,"Parcialmente",'Extração'!J:J,A142)/B142)</f>
        <v/>
      </c>
      <c r="G142" s="12" t="str">
        <f>IF(B142=0,"",COUNTIFS('Extração'!N:N,"Não",'Extração'!J:J,A142)/B142)</f>
        <v/>
      </c>
      <c r="H142" s="12" t="str">
        <f>IF(B142=0,"",COUNTIFS('Extração'!O:O,"Não",'Extração'!J:J,A142)/B142)</f>
        <v/>
      </c>
      <c r="I142" s="12" t="str">
        <f>IF(B142=0,"",COUNTIFS('Extração'!P:P,"Igual",'Extração'!J:J,A142)/B142)</f>
        <v/>
      </c>
    </row>
    <row r="143">
      <c r="B143" s="12">
        <f>COUNTIF('Extração'!J:J,A143)</f>
        <v>0</v>
      </c>
      <c r="C143" s="12" t="str">
        <f>IF(B143=0,"",COUNTIFS('Extração'!N:N,"Sim",'Extração'!J:J,A143)/B143)</f>
        <v/>
      </c>
      <c r="D143" s="12" t="str">
        <f>IF(B143=0,"",COUNTIFS('Extração'!O:O,"Sim",'Extração'!J:J,A143)/B143)</f>
        <v/>
      </c>
      <c r="E143" s="12" t="str">
        <f>IF(B143=0,"",COUNTIFS('Extração'!N:N,"Parcialmente",'Extração'!J:J,A143)/B143)</f>
        <v/>
      </c>
      <c r="F143" s="12" t="str">
        <f>IF(B143=0,"",COUNTIFS('Extração'!O:O,"Parcialmente",'Extração'!J:J,A143)/B143)</f>
        <v/>
      </c>
      <c r="G143" s="12" t="str">
        <f>IF(B143=0,"",COUNTIFS('Extração'!N:N,"Não",'Extração'!J:J,A143)/B143)</f>
        <v/>
      </c>
      <c r="H143" s="12" t="str">
        <f>IF(B143=0,"",COUNTIFS('Extração'!O:O,"Não",'Extração'!J:J,A143)/B143)</f>
        <v/>
      </c>
      <c r="I143" s="12" t="str">
        <f>IF(B143=0,"",COUNTIFS('Extração'!P:P,"Igual",'Extração'!J:J,A143)/B143)</f>
        <v/>
      </c>
    </row>
    <row r="144">
      <c r="B144" s="12">
        <f>COUNTIF('Extração'!J:J,A144)</f>
        <v>0</v>
      </c>
      <c r="C144" s="12" t="str">
        <f>IF(B144=0,"",COUNTIFS('Extração'!N:N,"Sim",'Extração'!J:J,A144)/B144)</f>
        <v/>
      </c>
      <c r="D144" s="12" t="str">
        <f>IF(B144=0,"",COUNTIFS('Extração'!O:O,"Sim",'Extração'!J:J,A144)/B144)</f>
        <v/>
      </c>
      <c r="E144" s="12" t="str">
        <f>IF(B144=0,"",COUNTIFS('Extração'!N:N,"Parcialmente",'Extração'!J:J,A144)/B144)</f>
        <v/>
      </c>
      <c r="F144" s="12" t="str">
        <f>IF(B144=0,"",COUNTIFS('Extração'!O:O,"Parcialmente",'Extração'!J:J,A144)/B144)</f>
        <v/>
      </c>
      <c r="G144" s="12" t="str">
        <f>IF(B144=0,"",COUNTIFS('Extração'!N:N,"Não",'Extração'!J:J,A144)/B144)</f>
        <v/>
      </c>
      <c r="H144" s="12" t="str">
        <f>IF(B144=0,"",COUNTIFS('Extração'!O:O,"Não",'Extração'!J:J,A144)/B144)</f>
        <v/>
      </c>
      <c r="I144" s="12" t="str">
        <f>IF(B144=0,"",COUNTIFS('Extração'!P:P,"Igual",'Extração'!J:J,A144)/B144)</f>
        <v/>
      </c>
    </row>
    <row r="145">
      <c r="B145" s="12">
        <f>COUNTIF('Extração'!J:J,A145)</f>
        <v>0</v>
      </c>
      <c r="C145" s="12" t="str">
        <f>IF(B145=0,"",COUNTIFS('Extração'!N:N,"Sim",'Extração'!J:J,A145)/B145)</f>
        <v/>
      </c>
      <c r="D145" s="12" t="str">
        <f>IF(B145=0,"",COUNTIFS('Extração'!O:O,"Sim",'Extração'!J:J,A145)/B145)</f>
        <v/>
      </c>
      <c r="E145" s="12" t="str">
        <f>IF(B145=0,"",COUNTIFS('Extração'!N:N,"Parcialmente",'Extração'!J:J,A145)/B145)</f>
        <v/>
      </c>
      <c r="F145" s="12" t="str">
        <f>IF(B145=0,"",COUNTIFS('Extração'!O:O,"Parcialmente",'Extração'!J:J,A145)/B145)</f>
        <v/>
      </c>
      <c r="G145" s="12" t="str">
        <f>IF(B145=0,"",COUNTIFS('Extração'!N:N,"Não",'Extração'!J:J,A145)/B145)</f>
        <v/>
      </c>
      <c r="H145" s="12" t="str">
        <f>IF(B145=0,"",COUNTIFS('Extração'!O:O,"Não",'Extração'!J:J,A145)/B145)</f>
        <v/>
      </c>
      <c r="I145" s="12" t="str">
        <f>IF(B145=0,"",COUNTIFS('Extração'!P:P,"Igual",'Extração'!J:J,A145)/B145)</f>
        <v/>
      </c>
    </row>
    <row r="146">
      <c r="B146" s="12">
        <f>COUNTIF('Extração'!J:J,A146)</f>
        <v>0</v>
      </c>
      <c r="C146" s="12" t="str">
        <f>IF(B146=0,"",COUNTIFS('Extração'!N:N,"Sim",'Extração'!J:J,A146)/B146)</f>
        <v/>
      </c>
      <c r="D146" s="12" t="str">
        <f>IF(B146=0,"",COUNTIFS('Extração'!O:O,"Sim",'Extração'!J:J,A146)/B146)</f>
        <v/>
      </c>
      <c r="E146" s="12" t="str">
        <f>IF(B146=0,"",COUNTIFS('Extração'!N:N,"Parcialmente",'Extração'!J:J,A146)/B146)</f>
        <v/>
      </c>
      <c r="F146" s="12" t="str">
        <f>IF(B146=0,"",COUNTIFS('Extração'!O:O,"Parcialmente",'Extração'!J:J,A146)/B146)</f>
        <v/>
      </c>
      <c r="G146" s="12" t="str">
        <f>IF(B146=0,"",COUNTIFS('Extração'!N:N,"Não",'Extração'!J:J,A146)/B146)</f>
        <v/>
      </c>
      <c r="H146" s="12" t="str">
        <f>IF(B146=0,"",COUNTIFS('Extração'!O:O,"Não",'Extração'!J:J,A146)/B146)</f>
        <v/>
      </c>
      <c r="I146" s="12" t="str">
        <f>IF(B146=0,"",COUNTIFS('Extração'!P:P,"Igual",'Extração'!J:J,A146)/B146)</f>
        <v/>
      </c>
    </row>
    <row r="147">
      <c r="B147" s="12">
        <f>COUNTIF('Extração'!J:J,A147)</f>
        <v>0</v>
      </c>
      <c r="C147" s="12" t="str">
        <f>IF(B147=0,"",COUNTIFS('Extração'!N:N,"Sim",'Extração'!J:J,A147)/B147)</f>
        <v/>
      </c>
      <c r="D147" s="12" t="str">
        <f>IF(B147=0,"",COUNTIFS('Extração'!O:O,"Sim",'Extração'!J:J,A147)/B147)</f>
        <v/>
      </c>
      <c r="E147" s="12" t="str">
        <f>IF(B147=0,"",COUNTIFS('Extração'!N:N,"Parcialmente",'Extração'!J:J,A147)/B147)</f>
        <v/>
      </c>
      <c r="F147" s="12" t="str">
        <f>IF(B147=0,"",COUNTIFS('Extração'!O:O,"Parcialmente",'Extração'!J:J,A147)/B147)</f>
        <v/>
      </c>
      <c r="G147" s="12" t="str">
        <f>IF(B147=0,"",COUNTIFS('Extração'!N:N,"Não",'Extração'!J:J,A147)/B147)</f>
        <v/>
      </c>
      <c r="H147" s="12" t="str">
        <f>IF(B147=0,"",COUNTIFS('Extração'!O:O,"Não",'Extração'!J:J,A147)/B147)</f>
        <v/>
      </c>
      <c r="I147" s="12" t="str">
        <f>IF(B147=0,"",COUNTIFS('Extração'!P:P,"Igual",'Extração'!J:J,A147)/B147)</f>
        <v/>
      </c>
    </row>
    <row r="148">
      <c r="B148" s="12">
        <f>COUNTIF('Extração'!J:J,A148)</f>
        <v>0</v>
      </c>
      <c r="C148" s="12" t="str">
        <f>IF(B148=0,"",COUNTIFS('Extração'!N:N,"Sim",'Extração'!J:J,A148)/B148)</f>
        <v/>
      </c>
      <c r="D148" s="12" t="str">
        <f>IF(B148=0,"",COUNTIFS('Extração'!O:O,"Sim",'Extração'!J:J,A148)/B148)</f>
        <v/>
      </c>
      <c r="E148" s="12" t="str">
        <f>IF(B148=0,"",COUNTIFS('Extração'!N:N,"Parcialmente",'Extração'!J:J,A148)/B148)</f>
        <v/>
      </c>
      <c r="F148" s="12" t="str">
        <f>IF(B148=0,"",COUNTIFS('Extração'!O:O,"Parcialmente",'Extração'!J:J,A148)/B148)</f>
        <v/>
      </c>
      <c r="G148" s="12" t="str">
        <f>IF(B148=0,"",COUNTIFS('Extração'!N:N,"Não",'Extração'!J:J,A148)/B148)</f>
        <v/>
      </c>
      <c r="H148" s="12" t="str">
        <f>IF(B148=0,"",COUNTIFS('Extração'!O:O,"Não",'Extração'!J:J,A148)/B148)</f>
        <v/>
      </c>
      <c r="I148" s="12" t="str">
        <f>IF(B148=0,"",COUNTIFS('Extração'!P:P,"Igual",'Extração'!J:J,A148)/B148)</f>
        <v/>
      </c>
    </row>
    <row r="149">
      <c r="B149" s="12">
        <f>COUNTIF('Extração'!J:J,A149)</f>
        <v>0</v>
      </c>
      <c r="C149" s="12" t="str">
        <f>IF(B149=0,"",COUNTIFS('Extração'!N:N,"Sim",'Extração'!J:J,A149)/B149)</f>
        <v/>
      </c>
      <c r="D149" s="12" t="str">
        <f>IF(B149=0,"",COUNTIFS('Extração'!O:O,"Sim",'Extração'!J:J,A149)/B149)</f>
        <v/>
      </c>
      <c r="E149" s="12" t="str">
        <f>IF(B149=0,"",COUNTIFS('Extração'!N:N,"Parcialmente",'Extração'!J:J,A149)/B149)</f>
        <v/>
      </c>
      <c r="F149" s="12" t="str">
        <f>IF(B149=0,"",COUNTIFS('Extração'!O:O,"Parcialmente",'Extração'!J:J,A149)/B149)</f>
        <v/>
      </c>
      <c r="G149" s="12" t="str">
        <f>IF(B149=0,"",COUNTIFS('Extração'!N:N,"Não",'Extração'!J:J,A149)/B149)</f>
        <v/>
      </c>
      <c r="H149" s="12" t="str">
        <f>IF(B149=0,"",COUNTIFS('Extração'!O:O,"Não",'Extração'!J:J,A149)/B149)</f>
        <v/>
      </c>
      <c r="I149" s="12" t="str">
        <f>IF(B149=0,"",COUNTIFS('Extração'!P:P,"Igual",'Extração'!J:J,A149)/B149)</f>
        <v/>
      </c>
    </row>
    <row r="150">
      <c r="B150" s="12">
        <f>COUNTIF('Extração'!J:J,A150)</f>
        <v>0</v>
      </c>
      <c r="C150" s="12" t="str">
        <f>IF(B150=0,"",COUNTIFS('Extração'!N:N,"Sim",'Extração'!J:J,A150)/B150)</f>
        <v/>
      </c>
      <c r="D150" s="12" t="str">
        <f>IF(B150=0,"",COUNTIFS('Extração'!O:O,"Sim",'Extração'!J:J,A150)/B150)</f>
        <v/>
      </c>
      <c r="E150" s="12" t="str">
        <f>IF(B150=0,"",COUNTIFS('Extração'!N:N,"Parcialmente",'Extração'!J:J,A150)/B150)</f>
        <v/>
      </c>
      <c r="F150" s="12" t="str">
        <f>IF(B150=0,"",COUNTIFS('Extração'!O:O,"Parcialmente",'Extração'!J:J,A150)/B150)</f>
        <v/>
      </c>
      <c r="G150" s="12" t="str">
        <f>IF(B150=0,"",COUNTIFS('Extração'!N:N,"Não",'Extração'!J:J,A150)/B150)</f>
        <v/>
      </c>
      <c r="H150" s="12" t="str">
        <f>IF(B150=0,"",COUNTIFS('Extração'!O:O,"Não",'Extração'!J:J,A150)/B150)</f>
        <v/>
      </c>
      <c r="I150" s="12" t="str">
        <f>IF(B150=0,"",COUNTIFS('Extração'!P:P,"Igual",'Extração'!J:J,A150)/B150)</f>
        <v/>
      </c>
    </row>
    <row r="151">
      <c r="B151" s="12">
        <f>COUNTIF('Extração'!J:J,A151)</f>
        <v>0</v>
      </c>
      <c r="C151" s="12" t="str">
        <f>IF(B151=0,"",COUNTIFS('Extração'!N:N,"Sim",'Extração'!J:J,A151)/B151)</f>
        <v/>
      </c>
      <c r="D151" s="12" t="str">
        <f>IF(B151=0,"",COUNTIFS('Extração'!O:O,"Sim",'Extração'!J:J,A151)/B151)</f>
        <v/>
      </c>
      <c r="E151" s="12" t="str">
        <f>IF(B151=0,"",COUNTIFS('Extração'!N:N,"Parcialmente",'Extração'!J:J,A151)/B151)</f>
        <v/>
      </c>
      <c r="F151" s="12" t="str">
        <f>IF(B151=0,"",COUNTIFS('Extração'!O:O,"Parcialmente",'Extração'!J:J,A151)/B151)</f>
        <v/>
      </c>
      <c r="G151" s="12" t="str">
        <f>IF(B151=0,"",COUNTIFS('Extração'!N:N,"Não",'Extração'!J:J,A151)/B151)</f>
        <v/>
      </c>
      <c r="H151" s="12" t="str">
        <f>IF(B151=0,"",COUNTIFS('Extração'!O:O,"Não",'Extração'!J:J,A151)/B151)</f>
        <v/>
      </c>
      <c r="I151" s="12" t="str">
        <f>IF(B151=0,"",COUNTIFS('Extração'!P:P,"Igual",'Extração'!J:J,A151)/B151)</f>
        <v/>
      </c>
    </row>
    <row r="152">
      <c r="B152" s="12">
        <f>COUNTIF('Extração'!J:J,A152)</f>
        <v>0</v>
      </c>
      <c r="C152" s="12" t="str">
        <f>IF(B152=0,"",COUNTIFS('Extração'!N:N,"Sim",'Extração'!J:J,A152)/B152)</f>
        <v/>
      </c>
      <c r="D152" s="12" t="str">
        <f>IF(B152=0,"",COUNTIFS('Extração'!O:O,"Sim",'Extração'!J:J,A152)/B152)</f>
        <v/>
      </c>
      <c r="E152" s="12" t="str">
        <f>IF(B152=0,"",COUNTIFS('Extração'!N:N,"Parcialmente",'Extração'!J:J,A152)/B152)</f>
        <v/>
      </c>
      <c r="F152" s="12" t="str">
        <f>IF(B152=0,"",COUNTIFS('Extração'!O:O,"Parcialmente",'Extração'!J:J,A152)/B152)</f>
        <v/>
      </c>
      <c r="G152" s="12" t="str">
        <f>IF(B152=0,"",COUNTIFS('Extração'!N:N,"Não",'Extração'!J:J,A152)/B152)</f>
        <v/>
      </c>
      <c r="H152" s="12" t="str">
        <f>IF(B152=0,"",COUNTIFS('Extração'!O:O,"Não",'Extração'!J:J,A152)/B152)</f>
        <v/>
      </c>
      <c r="I152" s="12" t="str">
        <f>IF(B152=0,"",COUNTIFS('Extração'!P:P,"Igual",'Extração'!J:J,A152)/B152)</f>
        <v/>
      </c>
    </row>
    <row r="153">
      <c r="B153" s="12">
        <f>COUNTIF('Extração'!J:J,A153)</f>
        <v>0</v>
      </c>
      <c r="C153" s="12" t="str">
        <f>IF(B153=0,"",COUNTIFS('Extração'!N:N,"Sim",'Extração'!J:J,A153)/B153)</f>
        <v/>
      </c>
      <c r="D153" s="12" t="str">
        <f>IF(B153=0,"",COUNTIFS('Extração'!O:O,"Sim",'Extração'!J:J,A153)/B153)</f>
        <v/>
      </c>
      <c r="E153" s="12" t="str">
        <f>IF(B153=0,"",COUNTIFS('Extração'!N:N,"Parcialmente",'Extração'!J:J,A153)/B153)</f>
        <v/>
      </c>
      <c r="F153" s="12" t="str">
        <f>IF(B153=0,"",COUNTIFS('Extração'!O:O,"Parcialmente",'Extração'!J:J,A153)/B153)</f>
        <v/>
      </c>
      <c r="G153" s="12" t="str">
        <f>IF(B153=0,"",COUNTIFS('Extração'!N:N,"Não",'Extração'!J:J,A153)/B153)</f>
        <v/>
      </c>
      <c r="H153" s="12" t="str">
        <f>IF(B153=0,"",COUNTIFS('Extração'!O:O,"Não",'Extração'!J:J,A153)/B153)</f>
        <v/>
      </c>
      <c r="I153" s="12" t="str">
        <f>IF(B153=0,"",COUNTIFS('Extração'!P:P,"Igual",'Extração'!J:J,A153)/B153)</f>
        <v/>
      </c>
    </row>
    <row r="154">
      <c r="B154" s="12">
        <f>COUNTIF('Extração'!J:J,A154)</f>
        <v>0</v>
      </c>
      <c r="C154" s="12" t="str">
        <f>IF(B154=0,"",COUNTIFS('Extração'!N:N,"Sim",'Extração'!J:J,A154)/B154)</f>
        <v/>
      </c>
      <c r="D154" s="12" t="str">
        <f>IF(B154=0,"",COUNTIFS('Extração'!O:O,"Sim",'Extração'!J:J,A154)/B154)</f>
        <v/>
      </c>
      <c r="E154" s="12" t="str">
        <f>IF(B154=0,"",COUNTIFS('Extração'!N:N,"Parcialmente",'Extração'!J:J,A154)/B154)</f>
        <v/>
      </c>
      <c r="F154" s="12" t="str">
        <f>IF(B154=0,"",COUNTIFS('Extração'!O:O,"Parcialmente",'Extração'!J:J,A154)/B154)</f>
        <v/>
      </c>
      <c r="G154" s="12" t="str">
        <f>IF(B154=0,"",COUNTIFS('Extração'!N:N,"Não",'Extração'!J:J,A154)/B154)</f>
        <v/>
      </c>
      <c r="H154" s="12" t="str">
        <f>IF(B154=0,"",COUNTIFS('Extração'!O:O,"Não",'Extração'!J:J,A154)/B154)</f>
        <v/>
      </c>
      <c r="I154" s="12" t="str">
        <f>IF(B154=0,"",COUNTIFS('Extração'!P:P,"Igual",'Extração'!J:J,A154)/B154)</f>
        <v/>
      </c>
    </row>
    <row r="155">
      <c r="B155" s="12">
        <f>COUNTIF('Extração'!J:J,A155)</f>
        <v>0</v>
      </c>
      <c r="C155" s="12" t="str">
        <f>IF(B155=0,"",COUNTIFS('Extração'!N:N,"Sim",'Extração'!J:J,A155)/B155)</f>
        <v/>
      </c>
      <c r="D155" s="12" t="str">
        <f>IF(B155=0,"",COUNTIFS('Extração'!O:O,"Sim",'Extração'!J:J,A155)/B155)</f>
        <v/>
      </c>
      <c r="E155" s="12" t="str">
        <f>IF(B155=0,"",COUNTIFS('Extração'!N:N,"Parcialmente",'Extração'!J:J,A155)/B155)</f>
        <v/>
      </c>
      <c r="F155" s="12" t="str">
        <f>IF(B155=0,"",COUNTIFS('Extração'!O:O,"Parcialmente",'Extração'!J:J,A155)/B155)</f>
        <v/>
      </c>
      <c r="G155" s="12" t="str">
        <f>IF(B155=0,"",COUNTIFS('Extração'!N:N,"Não",'Extração'!J:J,A155)/B155)</f>
        <v/>
      </c>
      <c r="H155" s="12" t="str">
        <f>IF(B155=0,"",COUNTIFS('Extração'!O:O,"Não",'Extração'!J:J,A155)/B155)</f>
        <v/>
      </c>
      <c r="I155" s="12" t="str">
        <f>IF(B155=0,"",COUNTIFS('Extração'!P:P,"Igual",'Extração'!J:J,A155)/B155)</f>
        <v/>
      </c>
    </row>
    <row r="156">
      <c r="B156" s="12">
        <f>COUNTIF('Extração'!J:J,A156)</f>
        <v>0</v>
      </c>
      <c r="C156" s="12" t="str">
        <f>IF(B156=0,"",COUNTIFS('Extração'!N:N,"Sim",'Extração'!J:J,A156)/B156)</f>
        <v/>
      </c>
      <c r="D156" s="12" t="str">
        <f>IF(B156=0,"",COUNTIFS('Extração'!O:O,"Sim",'Extração'!J:J,A156)/B156)</f>
        <v/>
      </c>
      <c r="E156" s="12" t="str">
        <f>IF(B156=0,"",COUNTIFS('Extração'!N:N,"Parcialmente",'Extração'!J:J,A156)/B156)</f>
        <v/>
      </c>
      <c r="F156" s="12" t="str">
        <f>IF(B156=0,"",COUNTIFS('Extração'!O:O,"Parcialmente",'Extração'!J:J,A156)/B156)</f>
        <v/>
      </c>
      <c r="G156" s="12" t="str">
        <f>IF(B156=0,"",COUNTIFS('Extração'!N:N,"Não",'Extração'!J:J,A156)/B156)</f>
        <v/>
      </c>
      <c r="H156" s="12" t="str">
        <f>IF(B156=0,"",COUNTIFS('Extração'!O:O,"Não",'Extração'!J:J,A156)/B156)</f>
        <v/>
      </c>
      <c r="I156" s="12" t="str">
        <f>IF(B156=0,"",COUNTIFS('Extração'!P:P,"Igual",'Extração'!J:J,A156)/B156)</f>
        <v/>
      </c>
    </row>
    <row r="157">
      <c r="B157" s="12">
        <f>COUNTIF('Extração'!J:J,A157)</f>
        <v>0</v>
      </c>
      <c r="C157" s="12" t="str">
        <f>IF(B157=0,"",COUNTIFS('Extração'!N:N,"Sim",'Extração'!J:J,A157)/B157)</f>
        <v/>
      </c>
      <c r="D157" s="12" t="str">
        <f>IF(B157=0,"",COUNTIFS('Extração'!O:O,"Sim",'Extração'!J:J,A157)/B157)</f>
        <v/>
      </c>
      <c r="E157" s="12" t="str">
        <f>IF(B157=0,"",COUNTIFS('Extração'!N:N,"Parcialmente",'Extração'!J:J,A157)/B157)</f>
        <v/>
      </c>
      <c r="F157" s="12" t="str">
        <f>IF(B157=0,"",COUNTIFS('Extração'!O:O,"Parcialmente",'Extração'!J:J,A157)/B157)</f>
        <v/>
      </c>
      <c r="G157" s="12" t="str">
        <f>IF(B157=0,"",COUNTIFS('Extração'!N:N,"Não",'Extração'!J:J,A157)/B157)</f>
        <v/>
      </c>
      <c r="H157" s="12" t="str">
        <f>IF(B157=0,"",COUNTIFS('Extração'!O:O,"Não",'Extração'!J:J,A157)/B157)</f>
        <v/>
      </c>
      <c r="I157" s="12" t="str">
        <f>IF(B157=0,"",COUNTIFS('Extração'!P:P,"Igual",'Extração'!J:J,A157)/B157)</f>
        <v/>
      </c>
    </row>
    <row r="158">
      <c r="B158" s="12">
        <f>COUNTIF('Extração'!J:J,A158)</f>
        <v>0</v>
      </c>
      <c r="C158" s="12" t="str">
        <f>IF(B158=0,"",COUNTIFS('Extração'!N:N,"Sim",'Extração'!J:J,A158)/B158)</f>
        <v/>
      </c>
      <c r="D158" s="12" t="str">
        <f>IF(B158=0,"",COUNTIFS('Extração'!O:O,"Sim",'Extração'!J:J,A158)/B158)</f>
        <v/>
      </c>
      <c r="E158" s="12" t="str">
        <f>IF(B158=0,"",COUNTIFS('Extração'!N:N,"Parcialmente",'Extração'!J:J,A158)/B158)</f>
        <v/>
      </c>
      <c r="F158" s="12" t="str">
        <f>IF(B158=0,"",COUNTIFS('Extração'!O:O,"Parcialmente",'Extração'!J:J,A158)/B158)</f>
        <v/>
      </c>
      <c r="G158" s="12" t="str">
        <f>IF(B158=0,"",COUNTIFS('Extração'!N:N,"Não",'Extração'!J:J,A158)/B158)</f>
        <v/>
      </c>
      <c r="H158" s="12" t="str">
        <f>IF(B158=0,"",COUNTIFS('Extração'!O:O,"Não",'Extração'!J:J,A158)/B158)</f>
        <v/>
      </c>
      <c r="I158" s="12" t="str">
        <f>IF(B158=0,"",COUNTIFS('Extração'!P:P,"Igual",'Extração'!J:J,A158)/B158)</f>
        <v/>
      </c>
    </row>
    <row r="159">
      <c r="B159" s="12">
        <f>COUNTIF('Extração'!J:J,A159)</f>
        <v>0</v>
      </c>
      <c r="C159" s="12" t="str">
        <f>IF(B159=0,"",COUNTIFS('Extração'!N:N,"Sim",'Extração'!J:J,A159)/B159)</f>
        <v/>
      </c>
      <c r="D159" s="12" t="str">
        <f>IF(B159=0,"",COUNTIFS('Extração'!O:O,"Sim",'Extração'!J:J,A159)/B159)</f>
        <v/>
      </c>
      <c r="E159" s="12" t="str">
        <f>IF(B159=0,"",COUNTIFS('Extração'!N:N,"Parcialmente",'Extração'!J:J,A159)/B159)</f>
        <v/>
      </c>
      <c r="F159" s="12" t="str">
        <f>IF(B159=0,"",COUNTIFS('Extração'!O:O,"Parcialmente",'Extração'!J:J,A159)/B159)</f>
        <v/>
      </c>
      <c r="G159" s="12" t="str">
        <f>IF(B159=0,"",COUNTIFS('Extração'!N:N,"Não",'Extração'!J:J,A159)/B159)</f>
        <v/>
      </c>
      <c r="H159" s="12" t="str">
        <f>IF(B159=0,"",COUNTIFS('Extração'!O:O,"Não",'Extração'!J:J,A159)/B159)</f>
        <v/>
      </c>
      <c r="I159" s="12" t="str">
        <f>IF(B159=0,"",COUNTIFS('Extração'!P:P,"Igual",'Extração'!J:J,A159)/B159)</f>
        <v/>
      </c>
    </row>
    <row r="160">
      <c r="B160" s="12">
        <f>COUNTIF('Extração'!J:J,A160)</f>
        <v>0</v>
      </c>
      <c r="C160" s="12" t="str">
        <f>IF(B160=0,"",COUNTIFS('Extração'!N:N,"Sim",'Extração'!J:J,A160)/B160)</f>
        <v/>
      </c>
      <c r="D160" s="12" t="str">
        <f>IF(B160=0,"",COUNTIFS('Extração'!O:O,"Sim",'Extração'!J:J,A160)/B160)</f>
        <v/>
      </c>
      <c r="E160" s="12" t="str">
        <f>IF(B160=0,"",COUNTIFS('Extração'!N:N,"Parcialmente",'Extração'!J:J,A160)/B160)</f>
        <v/>
      </c>
      <c r="F160" s="12" t="str">
        <f>IF(B160=0,"",COUNTIFS('Extração'!O:O,"Parcialmente",'Extração'!J:J,A160)/B160)</f>
        <v/>
      </c>
      <c r="G160" s="12" t="str">
        <f>IF(B160=0,"",COUNTIFS('Extração'!N:N,"Não",'Extração'!J:J,A160)/B160)</f>
        <v/>
      </c>
      <c r="H160" s="12" t="str">
        <f>IF(B160=0,"",COUNTIFS('Extração'!O:O,"Não",'Extração'!J:J,A160)/B160)</f>
        <v/>
      </c>
      <c r="I160" s="12" t="str">
        <f>IF(B160=0,"",COUNTIFS('Extração'!P:P,"Igual",'Extração'!J:J,A160)/B160)</f>
        <v/>
      </c>
    </row>
    <row r="161">
      <c r="B161" s="12">
        <f>COUNTIF('Extração'!J:J,A161)</f>
        <v>0</v>
      </c>
      <c r="C161" s="12" t="str">
        <f>IF(B161=0,"",COUNTIFS('Extração'!N:N,"Sim",'Extração'!J:J,A161)/B161)</f>
        <v/>
      </c>
      <c r="D161" s="12" t="str">
        <f>IF(B161=0,"",COUNTIFS('Extração'!O:O,"Sim",'Extração'!J:J,A161)/B161)</f>
        <v/>
      </c>
      <c r="E161" s="12" t="str">
        <f>IF(B161=0,"",COUNTIFS('Extração'!N:N,"Parcialmente",'Extração'!J:J,A161)/B161)</f>
        <v/>
      </c>
      <c r="F161" s="12" t="str">
        <f>IF(B161=0,"",COUNTIFS('Extração'!O:O,"Parcialmente",'Extração'!J:J,A161)/B161)</f>
        <v/>
      </c>
      <c r="G161" s="12" t="str">
        <f>IF(B161=0,"",COUNTIFS('Extração'!N:N,"Não",'Extração'!J:J,A161)/B161)</f>
        <v/>
      </c>
      <c r="H161" s="12" t="str">
        <f>IF(B161=0,"",COUNTIFS('Extração'!O:O,"Não",'Extração'!J:J,A161)/B161)</f>
        <v/>
      </c>
      <c r="I161" s="12" t="str">
        <f>IF(B161=0,"",COUNTIFS('Extração'!P:P,"Igual",'Extração'!J:J,A161)/B161)</f>
        <v/>
      </c>
    </row>
    <row r="162">
      <c r="B162" s="12">
        <f>COUNTIF('Extração'!J:J,A162)</f>
        <v>0</v>
      </c>
      <c r="C162" s="12" t="str">
        <f>IF(B162=0,"",COUNTIFS('Extração'!N:N,"Sim",'Extração'!J:J,A162)/B162)</f>
        <v/>
      </c>
      <c r="D162" s="12" t="str">
        <f>IF(B162=0,"",COUNTIFS('Extração'!O:O,"Sim",'Extração'!J:J,A162)/B162)</f>
        <v/>
      </c>
      <c r="E162" s="12" t="str">
        <f>IF(B162=0,"",COUNTIFS('Extração'!N:N,"Parcialmente",'Extração'!J:J,A162)/B162)</f>
        <v/>
      </c>
      <c r="F162" s="12" t="str">
        <f>IF(B162=0,"",COUNTIFS('Extração'!O:O,"Parcialmente",'Extração'!J:J,A162)/B162)</f>
        <v/>
      </c>
      <c r="G162" s="12" t="str">
        <f>IF(B162=0,"",COUNTIFS('Extração'!N:N,"Não",'Extração'!J:J,A162)/B162)</f>
        <v/>
      </c>
      <c r="H162" s="12" t="str">
        <f>IF(B162=0,"",COUNTIFS('Extração'!O:O,"Não",'Extração'!J:J,A162)/B162)</f>
        <v/>
      </c>
      <c r="I162" s="12" t="str">
        <f>IF(B162=0,"",COUNTIFS('Extração'!P:P,"Igual",'Extração'!J:J,A162)/B162)</f>
        <v/>
      </c>
    </row>
    <row r="163">
      <c r="B163" s="12">
        <f>COUNTIF('Extração'!J:J,A163)</f>
        <v>0</v>
      </c>
      <c r="C163" s="12" t="str">
        <f>IF(B163=0,"",COUNTIFS('Extração'!N:N,"Sim",'Extração'!J:J,A163)/B163)</f>
        <v/>
      </c>
      <c r="D163" s="12" t="str">
        <f>IF(B163=0,"",COUNTIFS('Extração'!O:O,"Sim",'Extração'!J:J,A163)/B163)</f>
        <v/>
      </c>
      <c r="E163" s="12" t="str">
        <f>IF(B163=0,"",COUNTIFS('Extração'!N:N,"Parcialmente",'Extração'!J:J,A163)/B163)</f>
        <v/>
      </c>
      <c r="F163" s="12" t="str">
        <f>IF(B163=0,"",COUNTIFS('Extração'!O:O,"Parcialmente",'Extração'!J:J,A163)/B163)</f>
        <v/>
      </c>
      <c r="G163" s="12" t="str">
        <f>IF(B163=0,"",COUNTIFS('Extração'!N:N,"Não",'Extração'!J:J,A163)/B163)</f>
        <v/>
      </c>
      <c r="H163" s="12" t="str">
        <f>IF(B163=0,"",COUNTIFS('Extração'!O:O,"Não",'Extração'!J:J,A163)/B163)</f>
        <v/>
      </c>
      <c r="I163" s="12" t="str">
        <f>IF(B163=0,"",COUNTIFS('Extração'!P:P,"Igual",'Extração'!J:J,A163)/B163)</f>
        <v/>
      </c>
    </row>
    <row r="164">
      <c r="B164" s="12">
        <f>COUNTIF('Extração'!J:J,A164)</f>
        <v>0</v>
      </c>
      <c r="C164" s="12" t="str">
        <f>IF(B164=0,"",COUNTIFS('Extração'!N:N,"Sim",'Extração'!J:J,A164)/B164)</f>
        <v/>
      </c>
      <c r="D164" s="12" t="str">
        <f>IF(B164=0,"",COUNTIFS('Extração'!O:O,"Sim",'Extração'!J:J,A164)/B164)</f>
        <v/>
      </c>
      <c r="E164" s="12" t="str">
        <f>IF(B164=0,"",COUNTIFS('Extração'!N:N,"Parcialmente",'Extração'!J:J,A164)/B164)</f>
        <v/>
      </c>
      <c r="F164" s="12" t="str">
        <f>IF(B164=0,"",COUNTIFS('Extração'!O:O,"Parcialmente",'Extração'!J:J,A164)/B164)</f>
        <v/>
      </c>
      <c r="G164" s="12" t="str">
        <f>IF(B164=0,"",COUNTIFS('Extração'!N:N,"Não",'Extração'!J:J,A164)/B164)</f>
        <v/>
      </c>
      <c r="H164" s="12" t="str">
        <f>IF(B164=0,"",COUNTIFS('Extração'!O:O,"Não",'Extração'!J:J,A164)/B164)</f>
        <v/>
      </c>
      <c r="I164" s="12" t="str">
        <f>IF(B164=0,"",COUNTIFS('Extração'!P:P,"Igual",'Extração'!J:J,A164)/B164)</f>
        <v/>
      </c>
    </row>
    <row r="165">
      <c r="B165" s="12">
        <f>COUNTIF('Extração'!J:J,A165)</f>
        <v>0</v>
      </c>
      <c r="C165" s="12" t="str">
        <f>IF(B165=0,"",COUNTIFS('Extração'!N:N,"Sim",'Extração'!J:J,A165)/B165)</f>
        <v/>
      </c>
      <c r="D165" s="12" t="str">
        <f>IF(B165=0,"",COUNTIFS('Extração'!O:O,"Sim",'Extração'!J:J,A165)/B165)</f>
        <v/>
      </c>
      <c r="E165" s="12" t="str">
        <f>IF(B165=0,"",COUNTIFS('Extração'!N:N,"Parcialmente",'Extração'!J:J,A165)/B165)</f>
        <v/>
      </c>
      <c r="F165" s="12" t="str">
        <f>IF(B165=0,"",COUNTIFS('Extração'!O:O,"Parcialmente",'Extração'!J:J,A165)/B165)</f>
        <v/>
      </c>
      <c r="G165" s="12" t="str">
        <f>IF(B165=0,"",COUNTIFS('Extração'!N:N,"Não",'Extração'!J:J,A165)/B165)</f>
        <v/>
      </c>
      <c r="H165" s="12" t="str">
        <f>IF(B165=0,"",COUNTIFS('Extração'!O:O,"Não",'Extração'!J:J,A165)/B165)</f>
        <v/>
      </c>
      <c r="I165" s="12" t="str">
        <f>IF(B165=0,"",COUNTIFS('Extração'!P:P,"Igual",'Extração'!J:J,A165)/B165)</f>
        <v/>
      </c>
    </row>
    <row r="166">
      <c r="B166" s="12">
        <f>COUNTIF('Extração'!J:J,A166)</f>
        <v>0</v>
      </c>
      <c r="C166" s="12" t="str">
        <f>IF(B166=0,"",COUNTIFS('Extração'!N:N,"Sim",'Extração'!J:J,A166)/B166)</f>
        <v/>
      </c>
      <c r="D166" s="12" t="str">
        <f>IF(B166=0,"",COUNTIFS('Extração'!O:O,"Sim",'Extração'!J:J,A166)/B166)</f>
        <v/>
      </c>
      <c r="E166" s="12" t="str">
        <f>IF(B166=0,"",COUNTIFS('Extração'!N:N,"Parcialmente",'Extração'!J:J,A166)/B166)</f>
        <v/>
      </c>
      <c r="F166" s="12" t="str">
        <f>IF(B166=0,"",COUNTIFS('Extração'!O:O,"Parcialmente",'Extração'!J:J,A166)/B166)</f>
        <v/>
      </c>
      <c r="G166" s="12" t="str">
        <f>IF(B166=0,"",COUNTIFS('Extração'!N:N,"Não",'Extração'!J:J,A166)/B166)</f>
        <v/>
      </c>
      <c r="H166" s="12" t="str">
        <f>IF(B166=0,"",COUNTIFS('Extração'!O:O,"Não",'Extração'!J:J,A166)/B166)</f>
        <v/>
      </c>
      <c r="I166" s="12" t="str">
        <f>IF(B166=0,"",COUNTIFS('Extração'!P:P,"Igual",'Extração'!J:J,A166)/B166)</f>
        <v/>
      </c>
    </row>
    <row r="167">
      <c r="B167" s="12">
        <f>COUNTIF('Extração'!J:J,A167)</f>
        <v>0</v>
      </c>
      <c r="C167" s="12" t="str">
        <f>IF(B167=0,"",COUNTIFS('Extração'!N:N,"Sim",'Extração'!J:J,A167)/B167)</f>
        <v/>
      </c>
      <c r="D167" s="12" t="str">
        <f>IF(B167=0,"",COUNTIFS('Extração'!O:O,"Sim",'Extração'!J:J,A167)/B167)</f>
        <v/>
      </c>
      <c r="E167" s="12" t="str">
        <f>IF(B167=0,"",COUNTIFS('Extração'!N:N,"Parcialmente",'Extração'!J:J,A167)/B167)</f>
        <v/>
      </c>
      <c r="F167" s="12" t="str">
        <f>IF(B167=0,"",COUNTIFS('Extração'!O:O,"Parcialmente",'Extração'!J:J,A167)/B167)</f>
        <v/>
      </c>
      <c r="G167" s="12" t="str">
        <f>IF(B167=0,"",COUNTIFS('Extração'!N:N,"Não",'Extração'!J:J,A167)/B167)</f>
        <v/>
      </c>
      <c r="H167" s="12" t="str">
        <f>IF(B167=0,"",COUNTIFS('Extração'!O:O,"Não",'Extração'!J:J,A167)/B167)</f>
        <v/>
      </c>
      <c r="I167" s="12" t="str">
        <f>IF(B167=0,"",COUNTIFS('Extração'!P:P,"Igual",'Extração'!J:J,A167)/B167)</f>
        <v/>
      </c>
    </row>
    <row r="168">
      <c r="B168" s="12">
        <f>COUNTIF('Extração'!J:J,A168)</f>
        <v>0</v>
      </c>
      <c r="C168" s="12" t="str">
        <f>IF(B168=0,"",COUNTIFS('Extração'!N:N,"Sim",'Extração'!J:J,A168)/B168)</f>
        <v/>
      </c>
      <c r="D168" s="12" t="str">
        <f>IF(B168=0,"",COUNTIFS('Extração'!O:O,"Sim",'Extração'!J:J,A168)/B168)</f>
        <v/>
      </c>
      <c r="E168" s="12" t="str">
        <f>IF(B168=0,"",COUNTIFS('Extração'!N:N,"Parcialmente",'Extração'!J:J,A168)/B168)</f>
        <v/>
      </c>
      <c r="F168" s="12" t="str">
        <f>IF(B168=0,"",COUNTIFS('Extração'!O:O,"Parcialmente",'Extração'!J:J,A168)/B168)</f>
        <v/>
      </c>
      <c r="G168" s="12" t="str">
        <f>IF(B168=0,"",COUNTIFS('Extração'!N:N,"Não",'Extração'!J:J,A168)/B168)</f>
        <v/>
      </c>
      <c r="H168" s="12" t="str">
        <f>IF(B168=0,"",COUNTIFS('Extração'!O:O,"Não",'Extração'!J:J,A168)/B168)</f>
        <v/>
      </c>
      <c r="I168" s="12" t="str">
        <f>IF(B168=0,"",COUNTIFS('Extração'!P:P,"Igual",'Extração'!J:J,A168)/B168)</f>
        <v/>
      </c>
    </row>
    <row r="169">
      <c r="B169" s="12">
        <f>COUNTIF('Extração'!J:J,A169)</f>
        <v>0</v>
      </c>
      <c r="C169" s="12" t="str">
        <f>IF(B169=0,"",COUNTIFS('Extração'!N:N,"Sim",'Extração'!J:J,A169)/B169)</f>
        <v/>
      </c>
      <c r="D169" s="12" t="str">
        <f>IF(B169=0,"",COUNTIFS('Extração'!O:O,"Sim",'Extração'!J:J,A169)/B169)</f>
        <v/>
      </c>
      <c r="E169" s="12" t="str">
        <f>IF(B169=0,"",COUNTIFS('Extração'!N:N,"Parcialmente",'Extração'!J:J,A169)/B169)</f>
        <v/>
      </c>
      <c r="F169" s="12" t="str">
        <f>IF(B169=0,"",COUNTIFS('Extração'!O:O,"Parcialmente",'Extração'!J:J,A169)/B169)</f>
        <v/>
      </c>
      <c r="G169" s="12" t="str">
        <f>IF(B169=0,"",COUNTIFS('Extração'!N:N,"Não",'Extração'!J:J,A169)/B169)</f>
        <v/>
      </c>
      <c r="H169" s="12" t="str">
        <f>IF(B169=0,"",COUNTIFS('Extração'!O:O,"Não",'Extração'!J:J,A169)/B169)</f>
        <v/>
      </c>
      <c r="I169" s="12" t="str">
        <f>IF(B169=0,"",COUNTIFS('Extração'!P:P,"Igual",'Extração'!J:J,A169)/B169)</f>
        <v/>
      </c>
    </row>
    <row r="170">
      <c r="B170" s="12">
        <f>COUNTIF('Extração'!J:J,A170)</f>
        <v>0</v>
      </c>
      <c r="C170" s="12" t="str">
        <f>IF(B170=0,"",COUNTIFS('Extração'!N:N,"Sim",'Extração'!J:J,A170)/B170)</f>
        <v/>
      </c>
      <c r="D170" s="12" t="str">
        <f>IF(B170=0,"",COUNTIFS('Extração'!O:O,"Sim",'Extração'!J:J,A170)/B170)</f>
        <v/>
      </c>
      <c r="E170" s="12" t="str">
        <f>IF(B170=0,"",COUNTIFS('Extração'!N:N,"Parcialmente",'Extração'!J:J,A170)/B170)</f>
        <v/>
      </c>
      <c r="F170" s="12" t="str">
        <f>IF(B170=0,"",COUNTIFS('Extração'!O:O,"Parcialmente",'Extração'!J:J,A170)/B170)</f>
        <v/>
      </c>
      <c r="G170" s="12" t="str">
        <f>IF(B170=0,"",COUNTIFS('Extração'!N:N,"Não",'Extração'!J:J,A170)/B170)</f>
        <v/>
      </c>
      <c r="H170" s="12" t="str">
        <f>IF(B170=0,"",COUNTIFS('Extração'!O:O,"Não",'Extração'!J:J,A170)/B170)</f>
        <v/>
      </c>
      <c r="I170" s="12" t="str">
        <f>IF(B170=0,"",COUNTIFS('Extração'!P:P,"Igual",'Extração'!J:J,A170)/B170)</f>
        <v/>
      </c>
    </row>
    <row r="171">
      <c r="B171" s="12">
        <f>COUNTIF('Extração'!J:J,A171)</f>
        <v>0</v>
      </c>
      <c r="C171" s="12" t="str">
        <f>IF(B171=0,"",COUNTIFS('Extração'!N:N,"Sim",'Extração'!J:J,A171)/B171)</f>
        <v/>
      </c>
      <c r="D171" s="12" t="str">
        <f>IF(B171=0,"",COUNTIFS('Extração'!O:O,"Sim",'Extração'!J:J,A171)/B171)</f>
        <v/>
      </c>
      <c r="E171" s="12" t="str">
        <f>IF(B171=0,"",COUNTIFS('Extração'!N:N,"Parcialmente",'Extração'!J:J,A171)/B171)</f>
        <v/>
      </c>
      <c r="F171" s="12" t="str">
        <f>IF(B171=0,"",COUNTIFS('Extração'!O:O,"Parcialmente",'Extração'!J:J,A171)/B171)</f>
        <v/>
      </c>
      <c r="G171" s="12" t="str">
        <f>IF(B171=0,"",COUNTIFS('Extração'!N:N,"Não",'Extração'!J:J,A171)/B171)</f>
        <v/>
      </c>
      <c r="H171" s="12" t="str">
        <f>IF(B171=0,"",COUNTIFS('Extração'!O:O,"Não",'Extração'!J:J,A171)/B171)</f>
        <v/>
      </c>
      <c r="I171" s="12" t="str">
        <f>IF(B171=0,"",COUNTIFS('Extração'!P:P,"Igual",'Extração'!J:J,A171)/B171)</f>
        <v/>
      </c>
    </row>
    <row r="172">
      <c r="B172" s="12">
        <f>COUNTIF('Extração'!J:J,A172)</f>
        <v>0</v>
      </c>
      <c r="C172" s="12" t="str">
        <f>IF(B172=0,"",COUNTIFS('Extração'!N:N,"Sim",'Extração'!J:J,A172)/B172)</f>
        <v/>
      </c>
      <c r="D172" s="12" t="str">
        <f>IF(B172=0,"",COUNTIFS('Extração'!O:O,"Sim",'Extração'!J:J,A172)/B172)</f>
        <v/>
      </c>
      <c r="E172" s="12" t="str">
        <f>IF(B172=0,"",COUNTIFS('Extração'!N:N,"Parcialmente",'Extração'!J:J,A172)/B172)</f>
        <v/>
      </c>
      <c r="F172" s="12" t="str">
        <f>IF(B172=0,"",COUNTIFS('Extração'!O:O,"Parcialmente",'Extração'!J:J,A172)/B172)</f>
        <v/>
      </c>
      <c r="G172" s="12" t="str">
        <f>IF(B172=0,"",COUNTIFS('Extração'!N:N,"Não",'Extração'!J:J,A172)/B172)</f>
        <v/>
      </c>
      <c r="H172" s="12" t="str">
        <f>IF(B172=0,"",COUNTIFS('Extração'!O:O,"Não",'Extração'!J:J,A172)/B172)</f>
        <v/>
      </c>
      <c r="I172" s="12" t="str">
        <f>IF(B172=0,"",COUNTIFS('Extração'!P:P,"Igual",'Extração'!J:J,A172)/B172)</f>
        <v/>
      </c>
    </row>
    <row r="173">
      <c r="B173" s="12">
        <f>COUNTIF('Extração'!J:J,A173)</f>
        <v>0</v>
      </c>
      <c r="C173" s="12" t="str">
        <f>IF(B173=0,"",COUNTIFS('Extração'!N:N,"Sim",'Extração'!J:J,A173)/B173)</f>
        <v/>
      </c>
      <c r="D173" s="12" t="str">
        <f>IF(B173=0,"",COUNTIFS('Extração'!O:O,"Sim",'Extração'!J:J,A173)/B173)</f>
        <v/>
      </c>
      <c r="E173" s="12" t="str">
        <f>IF(B173=0,"",COUNTIFS('Extração'!N:N,"Parcialmente",'Extração'!J:J,A173)/B173)</f>
        <v/>
      </c>
      <c r="F173" s="12" t="str">
        <f>IF(B173=0,"",COUNTIFS('Extração'!O:O,"Parcialmente",'Extração'!J:J,A173)/B173)</f>
        <v/>
      </c>
      <c r="G173" s="12" t="str">
        <f>IF(B173=0,"",COUNTIFS('Extração'!N:N,"Não",'Extração'!J:J,A173)/B173)</f>
        <v/>
      </c>
      <c r="H173" s="12" t="str">
        <f>IF(B173=0,"",COUNTIFS('Extração'!O:O,"Não",'Extração'!J:J,A173)/B173)</f>
        <v/>
      </c>
      <c r="I173" s="12" t="str">
        <f>IF(B173=0,"",COUNTIFS('Extração'!P:P,"Igual",'Extração'!J:J,A173)/B173)</f>
        <v/>
      </c>
    </row>
    <row r="174">
      <c r="B174" s="12">
        <f>COUNTIF('Extração'!J:J,A174)</f>
        <v>0</v>
      </c>
      <c r="C174" s="12" t="str">
        <f>IF(B174=0,"",COUNTIFS('Extração'!N:N,"Sim",'Extração'!J:J,A174)/B174)</f>
        <v/>
      </c>
      <c r="D174" s="12" t="str">
        <f>IF(B174=0,"",COUNTIFS('Extração'!O:O,"Sim",'Extração'!J:J,A174)/B174)</f>
        <v/>
      </c>
      <c r="E174" s="12" t="str">
        <f>IF(B174=0,"",COUNTIFS('Extração'!N:N,"Parcialmente",'Extração'!J:J,A174)/B174)</f>
        <v/>
      </c>
      <c r="F174" s="12" t="str">
        <f>IF(B174=0,"",COUNTIFS('Extração'!O:O,"Parcialmente",'Extração'!J:J,A174)/B174)</f>
        <v/>
      </c>
      <c r="G174" s="12" t="str">
        <f>IF(B174=0,"",COUNTIFS('Extração'!N:N,"Não",'Extração'!J:J,A174)/B174)</f>
        <v/>
      </c>
      <c r="H174" s="12" t="str">
        <f>IF(B174=0,"",COUNTIFS('Extração'!O:O,"Não",'Extração'!J:J,A174)/B174)</f>
        <v/>
      </c>
      <c r="I174" s="12" t="str">
        <f>IF(B174=0,"",COUNTIFS('Extração'!P:P,"Igual",'Extração'!J:J,A174)/B174)</f>
        <v/>
      </c>
    </row>
    <row r="175">
      <c r="B175" s="12">
        <f>COUNTIF('Extração'!J:J,A175)</f>
        <v>0</v>
      </c>
      <c r="C175" s="12" t="str">
        <f>IF(B175=0,"",COUNTIFS('Extração'!N:N,"Sim",'Extração'!J:J,A175)/B175)</f>
        <v/>
      </c>
      <c r="D175" s="12" t="str">
        <f>IF(B175=0,"",COUNTIFS('Extração'!O:O,"Sim",'Extração'!J:J,A175)/B175)</f>
        <v/>
      </c>
      <c r="E175" s="12" t="str">
        <f>IF(B175=0,"",COUNTIFS('Extração'!N:N,"Parcialmente",'Extração'!J:J,A175)/B175)</f>
        <v/>
      </c>
      <c r="F175" s="12" t="str">
        <f>IF(B175=0,"",COUNTIFS('Extração'!O:O,"Parcialmente",'Extração'!J:J,A175)/B175)</f>
        <v/>
      </c>
      <c r="G175" s="12" t="str">
        <f>IF(B175=0,"",COUNTIFS('Extração'!N:N,"Não",'Extração'!J:J,A175)/B175)</f>
        <v/>
      </c>
      <c r="H175" s="12" t="str">
        <f>IF(B175=0,"",COUNTIFS('Extração'!O:O,"Não",'Extração'!J:J,A175)/B175)</f>
        <v/>
      </c>
      <c r="I175" s="12" t="str">
        <f>IF(B175=0,"",COUNTIFS('Extração'!P:P,"Igual",'Extração'!J:J,A175)/B175)</f>
        <v/>
      </c>
    </row>
    <row r="176">
      <c r="B176" s="12">
        <f>COUNTIF('Extração'!J:J,A176)</f>
        <v>0</v>
      </c>
      <c r="C176" s="12" t="str">
        <f>IF(B176=0,"",COUNTIFS('Extração'!N:N,"Sim",'Extração'!J:J,A176)/B176)</f>
        <v/>
      </c>
      <c r="D176" s="12" t="str">
        <f>IF(B176=0,"",COUNTIFS('Extração'!O:O,"Sim",'Extração'!J:J,A176)/B176)</f>
        <v/>
      </c>
      <c r="E176" s="12" t="str">
        <f>IF(B176=0,"",COUNTIFS('Extração'!N:N,"Parcialmente",'Extração'!J:J,A176)/B176)</f>
        <v/>
      </c>
      <c r="F176" s="12" t="str">
        <f>IF(B176=0,"",COUNTIFS('Extração'!O:O,"Parcialmente",'Extração'!J:J,A176)/B176)</f>
        <v/>
      </c>
      <c r="G176" s="12" t="str">
        <f>IF(B176=0,"",COUNTIFS('Extração'!N:N,"Não",'Extração'!J:J,A176)/B176)</f>
        <v/>
      </c>
      <c r="H176" s="12" t="str">
        <f>IF(B176=0,"",COUNTIFS('Extração'!O:O,"Não",'Extração'!J:J,A176)/B176)</f>
        <v/>
      </c>
      <c r="I176" s="12" t="str">
        <f>IF(B176=0,"",COUNTIFS('Extração'!P:P,"Igual",'Extração'!J:J,A176)/B176)</f>
        <v/>
      </c>
    </row>
    <row r="177">
      <c r="B177" s="12">
        <f>COUNTIF('Extração'!J:J,A177)</f>
        <v>0</v>
      </c>
      <c r="C177" s="12" t="str">
        <f>IF(B177=0,"",COUNTIFS('Extração'!N:N,"Sim",'Extração'!J:J,A177)/B177)</f>
        <v/>
      </c>
      <c r="D177" s="12" t="str">
        <f>IF(B177=0,"",COUNTIFS('Extração'!O:O,"Sim",'Extração'!J:J,A177)/B177)</f>
        <v/>
      </c>
      <c r="E177" s="12" t="str">
        <f>IF(B177=0,"",COUNTIFS('Extração'!N:N,"Parcialmente",'Extração'!J:J,A177)/B177)</f>
        <v/>
      </c>
      <c r="F177" s="12" t="str">
        <f>IF(B177=0,"",COUNTIFS('Extração'!O:O,"Parcialmente",'Extração'!J:J,A177)/B177)</f>
        <v/>
      </c>
      <c r="G177" s="12" t="str">
        <f>IF(B177=0,"",COUNTIFS('Extração'!N:N,"Não",'Extração'!J:J,A177)/B177)</f>
        <v/>
      </c>
      <c r="H177" s="12" t="str">
        <f>IF(B177=0,"",COUNTIFS('Extração'!O:O,"Não",'Extração'!J:J,A177)/B177)</f>
        <v/>
      </c>
      <c r="I177" s="12" t="str">
        <f>IF(B177=0,"",COUNTIFS('Extração'!P:P,"Igual",'Extração'!J:J,A177)/B177)</f>
        <v/>
      </c>
    </row>
    <row r="178">
      <c r="B178" s="12">
        <f>COUNTIF('Extração'!J:J,A178)</f>
        <v>0</v>
      </c>
      <c r="C178" s="12" t="str">
        <f>IF(B178=0,"",COUNTIFS('Extração'!N:N,"Sim",'Extração'!J:J,A178)/B178)</f>
        <v/>
      </c>
      <c r="D178" s="12" t="str">
        <f>IF(B178=0,"",COUNTIFS('Extração'!O:O,"Sim",'Extração'!J:J,A178)/B178)</f>
        <v/>
      </c>
      <c r="E178" s="12" t="str">
        <f>IF(B178=0,"",COUNTIFS('Extração'!N:N,"Parcialmente",'Extração'!J:J,A178)/B178)</f>
        <v/>
      </c>
      <c r="F178" s="12" t="str">
        <f>IF(B178=0,"",COUNTIFS('Extração'!O:O,"Parcialmente",'Extração'!J:J,A178)/B178)</f>
        <v/>
      </c>
      <c r="G178" s="12" t="str">
        <f>IF(B178=0,"",COUNTIFS('Extração'!N:N,"Não",'Extração'!J:J,A178)/B178)</f>
        <v/>
      </c>
      <c r="H178" s="12" t="str">
        <f>IF(B178=0,"",COUNTIFS('Extração'!O:O,"Não",'Extração'!J:J,A178)/B178)</f>
        <v/>
      </c>
      <c r="I178" s="12" t="str">
        <f>IF(B178=0,"",COUNTIFS('Extração'!P:P,"Igual",'Extração'!J:J,A178)/B178)</f>
        <v/>
      </c>
    </row>
    <row r="179">
      <c r="B179" s="12">
        <f>COUNTIF('Extração'!J:J,A179)</f>
        <v>0</v>
      </c>
      <c r="C179" s="12" t="str">
        <f>IF(B179=0,"",COUNTIFS('Extração'!N:N,"Sim",'Extração'!J:J,A179)/B179)</f>
        <v/>
      </c>
      <c r="D179" s="12" t="str">
        <f>IF(B179=0,"",COUNTIFS('Extração'!O:O,"Sim",'Extração'!J:J,A179)/B179)</f>
        <v/>
      </c>
      <c r="E179" s="12" t="str">
        <f>IF(B179=0,"",COUNTIFS('Extração'!N:N,"Parcialmente",'Extração'!J:J,A179)/B179)</f>
        <v/>
      </c>
      <c r="F179" s="12" t="str">
        <f>IF(B179=0,"",COUNTIFS('Extração'!O:O,"Parcialmente",'Extração'!J:J,A179)/B179)</f>
        <v/>
      </c>
      <c r="G179" s="12" t="str">
        <f>IF(B179=0,"",COUNTIFS('Extração'!N:N,"Não",'Extração'!J:J,A179)/B179)</f>
        <v/>
      </c>
      <c r="H179" s="12" t="str">
        <f>IF(B179=0,"",COUNTIFS('Extração'!O:O,"Não",'Extração'!J:J,A179)/B179)</f>
        <v/>
      </c>
      <c r="I179" s="12" t="str">
        <f>IF(B179=0,"",COUNTIFS('Extração'!P:P,"Igual",'Extração'!J:J,A179)/B179)</f>
        <v/>
      </c>
    </row>
    <row r="180">
      <c r="B180" s="12">
        <f>COUNTIF('Extração'!J:J,A180)</f>
        <v>0</v>
      </c>
      <c r="C180" s="12" t="str">
        <f>IF(B180=0,"",COUNTIFS('Extração'!N:N,"Sim",'Extração'!J:J,A180)/B180)</f>
        <v/>
      </c>
      <c r="D180" s="12" t="str">
        <f>IF(B180=0,"",COUNTIFS('Extração'!O:O,"Sim",'Extração'!J:J,A180)/B180)</f>
        <v/>
      </c>
      <c r="E180" s="12" t="str">
        <f>IF(B180=0,"",COUNTIFS('Extração'!N:N,"Parcialmente",'Extração'!J:J,A180)/B180)</f>
        <v/>
      </c>
      <c r="F180" s="12" t="str">
        <f>IF(B180=0,"",COUNTIFS('Extração'!O:O,"Parcialmente",'Extração'!J:J,A180)/B180)</f>
        <v/>
      </c>
      <c r="G180" s="12" t="str">
        <f>IF(B180=0,"",COUNTIFS('Extração'!N:N,"Não",'Extração'!J:J,A180)/B180)</f>
        <v/>
      </c>
      <c r="H180" s="12" t="str">
        <f>IF(B180=0,"",COUNTIFS('Extração'!O:O,"Não",'Extração'!J:J,A180)/B180)</f>
        <v/>
      </c>
      <c r="I180" s="12" t="str">
        <f>IF(B180=0,"",COUNTIFS('Extração'!P:P,"Igual",'Extração'!J:J,A180)/B180)</f>
        <v/>
      </c>
    </row>
    <row r="181">
      <c r="B181" s="12">
        <f>COUNTIF('Extração'!J:J,A181)</f>
        <v>0</v>
      </c>
      <c r="C181" s="12" t="str">
        <f>IF(B181=0,"",COUNTIFS('Extração'!N:N,"Sim",'Extração'!J:J,A181)/B181)</f>
        <v/>
      </c>
      <c r="D181" s="12" t="str">
        <f>IF(B181=0,"",COUNTIFS('Extração'!O:O,"Sim",'Extração'!J:J,A181)/B181)</f>
        <v/>
      </c>
      <c r="E181" s="12" t="str">
        <f>IF(B181=0,"",COUNTIFS('Extração'!N:N,"Parcialmente",'Extração'!J:J,A181)/B181)</f>
        <v/>
      </c>
      <c r="F181" s="12" t="str">
        <f>IF(B181=0,"",COUNTIFS('Extração'!O:O,"Parcialmente",'Extração'!J:J,A181)/B181)</f>
        <v/>
      </c>
      <c r="G181" s="12" t="str">
        <f>IF(B181=0,"",COUNTIFS('Extração'!N:N,"Não",'Extração'!J:J,A181)/B181)</f>
        <v/>
      </c>
      <c r="H181" s="12" t="str">
        <f>IF(B181=0,"",COUNTIFS('Extração'!O:O,"Não",'Extração'!J:J,A181)/B181)</f>
        <v/>
      </c>
      <c r="I181" s="12" t="str">
        <f>IF(B181=0,"",COUNTIFS('Extração'!P:P,"Igual",'Extração'!J:J,A181)/B181)</f>
        <v/>
      </c>
    </row>
    <row r="182">
      <c r="B182" s="12">
        <f>COUNTIF('Extração'!J:J,A182)</f>
        <v>0</v>
      </c>
      <c r="C182" s="12" t="str">
        <f>IF(B182=0,"",COUNTIFS('Extração'!N:N,"Sim",'Extração'!J:J,A182)/B182)</f>
        <v/>
      </c>
      <c r="D182" s="12" t="str">
        <f>IF(B182=0,"",COUNTIFS('Extração'!O:O,"Sim",'Extração'!J:J,A182)/B182)</f>
        <v/>
      </c>
      <c r="E182" s="12" t="str">
        <f>IF(B182=0,"",COUNTIFS('Extração'!N:N,"Parcialmente",'Extração'!J:J,A182)/B182)</f>
        <v/>
      </c>
      <c r="F182" s="12" t="str">
        <f>IF(B182=0,"",COUNTIFS('Extração'!O:O,"Parcialmente",'Extração'!J:J,A182)/B182)</f>
        <v/>
      </c>
      <c r="G182" s="12" t="str">
        <f>IF(B182=0,"",COUNTIFS('Extração'!N:N,"Não",'Extração'!J:J,A182)/B182)</f>
        <v/>
      </c>
      <c r="H182" s="12" t="str">
        <f>IF(B182=0,"",COUNTIFS('Extração'!O:O,"Não",'Extração'!J:J,A182)/B182)</f>
        <v/>
      </c>
      <c r="I182" s="12" t="str">
        <f>IF(B182=0,"",COUNTIFS('Extração'!P:P,"Igual",'Extração'!J:J,A182)/B182)</f>
        <v/>
      </c>
    </row>
    <row r="183">
      <c r="B183" s="12">
        <f>COUNTIF('Extração'!J:J,A183)</f>
        <v>0</v>
      </c>
      <c r="C183" s="12" t="str">
        <f>IF(B183=0,"",COUNTIFS('Extração'!N:N,"Sim",'Extração'!J:J,A183)/B183)</f>
        <v/>
      </c>
      <c r="D183" s="12" t="str">
        <f>IF(B183=0,"",COUNTIFS('Extração'!O:O,"Sim",'Extração'!J:J,A183)/B183)</f>
        <v/>
      </c>
      <c r="E183" s="12" t="str">
        <f>IF(B183=0,"",COUNTIFS('Extração'!N:N,"Parcialmente",'Extração'!J:J,A183)/B183)</f>
        <v/>
      </c>
      <c r="F183" s="12" t="str">
        <f>IF(B183=0,"",COUNTIFS('Extração'!O:O,"Parcialmente",'Extração'!J:J,A183)/B183)</f>
        <v/>
      </c>
      <c r="G183" s="12" t="str">
        <f>IF(B183=0,"",COUNTIFS('Extração'!N:N,"Não",'Extração'!J:J,A183)/B183)</f>
        <v/>
      </c>
      <c r="H183" s="12" t="str">
        <f>IF(B183=0,"",COUNTIFS('Extração'!O:O,"Não",'Extração'!J:J,A183)/B183)</f>
        <v/>
      </c>
      <c r="I183" s="12" t="str">
        <f>IF(B183=0,"",COUNTIFS('Extração'!P:P,"Igual",'Extração'!J:J,A183)/B183)</f>
        <v/>
      </c>
    </row>
    <row r="184">
      <c r="B184" s="12">
        <f>COUNTIF('Extração'!J:J,A184)</f>
        <v>0</v>
      </c>
      <c r="C184" s="12" t="str">
        <f>IF(B184=0,"",COUNTIFS('Extração'!N:N,"Sim",'Extração'!J:J,A184)/B184)</f>
        <v/>
      </c>
      <c r="D184" s="12" t="str">
        <f>IF(B184=0,"",COUNTIFS('Extração'!O:O,"Sim",'Extração'!J:J,A184)/B184)</f>
        <v/>
      </c>
      <c r="E184" s="12" t="str">
        <f>IF(B184=0,"",COUNTIFS('Extração'!N:N,"Parcialmente",'Extração'!J:J,A184)/B184)</f>
        <v/>
      </c>
      <c r="F184" s="12" t="str">
        <f>IF(B184=0,"",COUNTIFS('Extração'!O:O,"Parcialmente",'Extração'!J:J,A184)/B184)</f>
        <v/>
      </c>
      <c r="G184" s="12" t="str">
        <f>IF(B184=0,"",COUNTIFS('Extração'!N:N,"Não",'Extração'!J:J,A184)/B184)</f>
        <v/>
      </c>
      <c r="H184" s="12" t="str">
        <f>IF(B184=0,"",COUNTIFS('Extração'!O:O,"Não",'Extração'!J:J,A184)/B184)</f>
        <v/>
      </c>
      <c r="I184" s="12" t="str">
        <f>IF(B184=0,"",COUNTIFS('Extração'!P:P,"Igual",'Extração'!J:J,A184)/B184)</f>
        <v/>
      </c>
    </row>
    <row r="185">
      <c r="B185" s="12">
        <f>COUNTIF('Extração'!J:J,A185)</f>
        <v>0</v>
      </c>
      <c r="C185" s="12" t="str">
        <f>IF(B185=0,"",COUNTIFS('Extração'!N:N,"Sim",'Extração'!J:J,A185)/B185)</f>
        <v/>
      </c>
      <c r="D185" s="12" t="str">
        <f>IF(B185=0,"",COUNTIFS('Extração'!O:O,"Sim",'Extração'!J:J,A185)/B185)</f>
        <v/>
      </c>
      <c r="E185" s="12" t="str">
        <f>IF(B185=0,"",COUNTIFS('Extração'!N:N,"Parcialmente",'Extração'!J:J,A185)/B185)</f>
        <v/>
      </c>
      <c r="F185" s="12" t="str">
        <f>IF(B185=0,"",COUNTIFS('Extração'!O:O,"Parcialmente",'Extração'!J:J,A185)/B185)</f>
        <v/>
      </c>
      <c r="G185" s="12" t="str">
        <f>IF(B185=0,"",COUNTIFS('Extração'!N:N,"Não",'Extração'!J:J,A185)/B185)</f>
        <v/>
      </c>
      <c r="H185" s="12" t="str">
        <f>IF(B185=0,"",COUNTIFS('Extração'!O:O,"Não",'Extração'!J:J,A185)/B185)</f>
        <v/>
      </c>
      <c r="I185" s="12" t="str">
        <f>IF(B185=0,"",COUNTIFS('Extração'!P:P,"Igual",'Extração'!J:J,A185)/B185)</f>
        <v/>
      </c>
    </row>
    <row r="186">
      <c r="B186" s="12">
        <f>COUNTIF('Extração'!J:J,A186)</f>
        <v>0</v>
      </c>
      <c r="C186" s="12" t="str">
        <f>IF(B186=0,"",COUNTIFS('Extração'!N:N,"Sim",'Extração'!J:J,A186)/B186)</f>
        <v/>
      </c>
      <c r="D186" s="12" t="str">
        <f>IF(B186=0,"",COUNTIFS('Extração'!O:O,"Sim",'Extração'!J:J,A186)/B186)</f>
        <v/>
      </c>
      <c r="E186" s="12" t="str">
        <f>IF(B186=0,"",COUNTIFS('Extração'!N:N,"Parcialmente",'Extração'!J:J,A186)/B186)</f>
        <v/>
      </c>
      <c r="F186" s="12" t="str">
        <f>IF(B186=0,"",COUNTIFS('Extração'!O:O,"Parcialmente",'Extração'!J:J,A186)/B186)</f>
        <v/>
      </c>
      <c r="G186" s="12" t="str">
        <f>IF(B186=0,"",COUNTIFS('Extração'!N:N,"Não",'Extração'!J:J,A186)/B186)</f>
        <v/>
      </c>
      <c r="H186" s="12" t="str">
        <f>IF(B186=0,"",COUNTIFS('Extração'!O:O,"Não",'Extração'!J:J,A186)/B186)</f>
        <v/>
      </c>
      <c r="I186" s="12" t="str">
        <f>IF(B186=0,"",COUNTIFS('Extração'!P:P,"Igual",'Extração'!J:J,A186)/B186)</f>
        <v/>
      </c>
    </row>
    <row r="187">
      <c r="B187" s="12">
        <f>COUNTIF('Extração'!J:J,A187)</f>
        <v>0</v>
      </c>
      <c r="C187" s="12" t="str">
        <f>IF(B187=0,"",COUNTIFS('Extração'!N:N,"Sim",'Extração'!J:J,A187)/B187)</f>
        <v/>
      </c>
      <c r="D187" s="12" t="str">
        <f>IF(B187=0,"",COUNTIFS('Extração'!O:O,"Sim",'Extração'!J:J,A187)/B187)</f>
        <v/>
      </c>
      <c r="E187" s="12" t="str">
        <f>IF(B187=0,"",COUNTIFS('Extração'!N:N,"Parcialmente",'Extração'!J:J,A187)/B187)</f>
        <v/>
      </c>
      <c r="F187" s="12" t="str">
        <f>IF(B187=0,"",COUNTIFS('Extração'!O:O,"Parcialmente",'Extração'!J:J,A187)/B187)</f>
        <v/>
      </c>
      <c r="G187" s="12" t="str">
        <f>IF(B187=0,"",COUNTIFS('Extração'!N:N,"Não",'Extração'!J:J,A187)/B187)</f>
        <v/>
      </c>
      <c r="H187" s="12" t="str">
        <f>IF(B187=0,"",COUNTIFS('Extração'!O:O,"Não",'Extração'!J:J,A187)/B187)</f>
        <v/>
      </c>
      <c r="I187" s="12" t="str">
        <f>IF(B187=0,"",COUNTIFS('Extração'!P:P,"Igual",'Extração'!J:J,A187)/B187)</f>
        <v/>
      </c>
    </row>
    <row r="188">
      <c r="B188" s="12">
        <f>COUNTIF('Extração'!J:J,A188)</f>
        <v>0</v>
      </c>
      <c r="C188" s="12" t="str">
        <f>IF(B188=0,"",COUNTIFS('Extração'!N:N,"Sim",'Extração'!J:J,A188)/B188)</f>
        <v/>
      </c>
      <c r="D188" s="12" t="str">
        <f>IF(B188=0,"",COUNTIFS('Extração'!O:O,"Sim",'Extração'!J:J,A188)/B188)</f>
        <v/>
      </c>
      <c r="E188" s="12" t="str">
        <f>IF(B188=0,"",COUNTIFS('Extração'!N:N,"Parcialmente",'Extração'!J:J,A188)/B188)</f>
        <v/>
      </c>
      <c r="F188" s="12" t="str">
        <f>IF(B188=0,"",COUNTIFS('Extração'!O:O,"Parcialmente",'Extração'!J:J,A188)/B188)</f>
        <v/>
      </c>
      <c r="G188" s="12" t="str">
        <f>IF(B188=0,"",COUNTIFS('Extração'!N:N,"Não",'Extração'!J:J,A188)/B188)</f>
        <v/>
      </c>
      <c r="H188" s="12" t="str">
        <f>IF(B188=0,"",COUNTIFS('Extração'!O:O,"Não",'Extração'!J:J,A188)/B188)</f>
        <v/>
      </c>
      <c r="I188" s="12" t="str">
        <f>IF(B188=0,"",COUNTIFS('Extração'!P:P,"Igual",'Extração'!J:J,A188)/B188)</f>
        <v/>
      </c>
    </row>
    <row r="189">
      <c r="B189" s="12">
        <f>COUNTIF('Extração'!J:J,A189)</f>
        <v>0</v>
      </c>
      <c r="C189" s="12" t="str">
        <f>IF(B189=0,"",COUNTIFS('Extração'!N:N,"Sim",'Extração'!J:J,A189)/B189)</f>
        <v/>
      </c>
      <c r="D189" s="12" t="str">
        <f>IF(B189=0,"",COUNTIFS('Extração'!O:O,"Sim",'Extração'!J:J,A189)/B189)</f>
        <v/>
      </c>
      <c r="E189" s="12" t="str">
        <f>IF(B189=0,"",COUNTIFS('Extração'!N:N,"Parcialmente",'Extração'!J:J,A189)/B189)</f>
        <v/>
      </c>
      <c r="F189" s="12" t="str">
        <f>IF(B189=0,"",COUNTIFS('Extração'!O:O,"Parcialmente",'Extração'!J:J,A189)/B189)</f>
        <v/>
      </c>
      <c r="G189" s="12" t="str">
        <f>IF(B189=0,"",COUNTIFS('Extração'!N:N,"Não",'Extração'!J:J,A189)/B189)</f>
        <v/>
      </c>
      <c r="H189" s="12" t="str">
        <f>IF(B189=0,"",COUNTIFS('Extração'!O:O,"Não",'Extração'!J:J,A189)/B189)</f>
        <v/>
      </c>
      <c r="I189" s="12" t="str">
        <f>IF(B189=0,"",COUNTIFS('Extração'!P:P,"Igual",'Extração'!J:J,A189)/B189)</f>
        <v/>
      </c>
    </row>
    <row r="190">
      <c r="B190" s="12">
        <f>COUNTIF('Extração'!J:J,A190)</f>
        <v>0</v>
      </c>
      <c r="C190" s="12" t="str">
        <f>IF(B190=0,"",COUNTIFS('Extração'!N:N,"Sim",'Extração'!J:J,A190)/B190)</f>
        <v/>
      </c>
      <c r="D190" s="12" t="str">
        <f>IF(B190=0,"",COUNTIFS('Extração'!O:O,"Sim",'Extração'!J:J,A190)/B190)</f>
        <v/>
      </c>
      <c r="E190" s="12" t="str">
        <f>IF(B190=0,"",COUNTIFS('Extração'!N:N,"Parcialmente",'Extração'!J:J,A190)/B190)</f>
        <v/>
      </c>
      <c r="F190" s="12" t="str">
        <f>IF(B190=0,"",COUNTIFS('Extração'!O:O,"Parcialmente",'Extração'!J:J,A190)/B190)</f>
        <v/>
      </c>
      <c r="G190" s="12" t="str">
        <f>IF(B190=0,"",COUNTIFS('Extração'!N:N,"Não",'Extração'!J:J,A190)/B190)</f>
        <v/>
      </c>
      <c r="H190" s="12" t="str">
        <f>IF(B190=0,"",COUNTIFS('Extração'!O:O,"Não",'Extração'!J:J,A190)/B190)</f>
        <v/>
      </c>
      <c r="I190" s="12" t="str">
        <f>IF(B190=0,"",COUNTIFS('Extração'!P:P,"Igual",'Extração'!J:J,A190)/B190)</f>
        <v/>
      </c>
    </row>
    <row r="191">
      <c r="B191" s="12">
        <f>COUNTIF('Extração'!J:J,A191)</f>
        <v>0</v>
      </c>
      <c r="C191" s="12" t="str">
        <f>IF(B191=0,"",COUNTIFS('Extração'!N:N,"Sim",'Extração'!J:J,A191)/B191)</f>
        <v/>
      </c>
      <c r="D191" s="12" t="str">
        <f>IF(B191=0,"",COUNTIFS('Extração'!O:O,"Sim",'Extração'!J:J,A191)/B191)</f>
        <v/>
      </c>
      <c r="E191" s="12" t="str">
        <f>IF(B191=0,"",COUNTIFS('Extração'!N:N,"Parcialmente",'Extração'!J:J,A191)/B191)</f>
        <v/>
      </c>
      <c r="F191" s="12" t="str">
        <f>IF(B191=0,"",COUNTIFS('Extração'!O:O,"Parcialmente",'Extração'!J:J,A191)/B191)</f>
        <v/>
      </c>
      <c r="G191" s="12" t="str">
        <f>IF(B191=0,"",COUNTIFS('Extração'!N:N,"Não",'Extração'!J:J,A191)/B191)</f>
        <v/>
      </c>
      <c r="H191" s="12" t="str">
        <f>IF(B191=0,"",COUNTIFS('Extração'!O:O,"Não",'Extração'!J:J,A191)/B191)</f>
        <v/>
      </c>
      <c r="I191" s="12" t="str">
        <f>IF(B191=0,"",COUNTIFS('Extração'!P:P,"Igual",'Extração'!J:J,A191)/B191)</f>
        <v/>
      </c>
    </row>
    <row r="192">
      <c r="B192" s="12">
        <f>COUNTIF('Extração'!J:J,A192)</f>
        <v>0</v>
      </c>
      <c r="C192" s="12" t="str">
        <f>IF(B192=0,"",COUNTIFS('Extração'!N:N,"Sim",'Extração'!J:J,A192)/B192)</f>
        <v/>
      </c>
      <c r="D192" s="12" t="str">
        <f>IF(B192=0,"",COUNTIFS('Extração'!O:O,"Sim",'Extração'!J:J,A192)/B192)</f>
        <v/>
      </c>
      <c r="E192" s="12" t="str">
        <f>IF(B192=0,"",COUNTIFS('Extração'!N:N,"Parcialmente",'Extração'!J:J,A192)/B192)</f>
        <v/>
      </c>
      <c r="F192" s="12" t="str">
        <f>IF(B192=0,"",COUNTIFS('Extração'!O:O,"Parcialmente",'Extração'!J:J,A192)/B192)</f>
        <v/>
      </c>
      <c r="G192" s="12" t="str">
        <f>IF(B192=0,"",COUNTIFS('Extração'!N:N,"Não",'Extração'!J:J,A192)/B192)</f>
        <v/>
      </c>
      <c r="H192" s="12" t="str">
        <f>IF(B192=0,"",COUNTIFS('Extração'!O:O,"Não",'Extração'!J:J,A192)/B192)</f>
        <v/>
      </c>
      <c r="I192" s="12" t="str">
        <f>IF(B192=0,"",COUNTIFS('Extração'!P:P,"Igual",'Extração'!J:J,A192)/B192)</f>
        <v/>
      </c>
    </row>
    <row r="193">
      <c r="B193" s="12">
        <f>COUNTIF('Extração'!J:J,A193)</f>
        <v>0</v>
      </c>
      <c r="C193" s="12" t="str">
        <f>IF(B193=0,"",COUNTIFS('Extração'!N:N,"Sim",'Extração'!J:J,A193)/B193)</f>
        <v/>
      </c>
      <c r="D193" s="12" t="str">
        <f>IF(B193=0,"",COUNTIFS('Extração'!O:O,"Sim",'Extração'!J:J,A193)/B193)</f>
        <v/>
      </c>
      <c r="E193" s="12" t="str">
        <f>IF(B193=0,"",COUNTIFS('Extração'!N:N,"Parcialmente",'Extração'!J:J,A193)/B193)</f>
        <v/>
      </c>
      <c r="F193" s="12" t="str">
        <f>IF(B193=0,"",COUNTIFS('Extração'!O:O,"Parcialmente",'Extração'!J:J,A193)/B193)</f>
        <v/>
      </c>
      <c r="G193" s="12" t="str">
        <f>IF(B193=0,"",COUNTIFS('Extração'!N:N,"Não",'Extração'!J:J,A193)/B193)</f>
        <v/>
      </c>
      <c r="H193" s="12" t="str">
        <f>IF(B193=0,"",COUNTIFS('Extração'!O:O,"Não",'Extração'!J:J,A193)/B193)</f>
        <v/>
      </c>
      <c r="I193" s="12" t="str">
        <f>IF(B193=0,"",COUNTIFS('Extração'!P:P,"Igual",'Extração'!J:J,A193)/B193)</f>
        <v/>
      </c>
    </row>
    <row r="194">
      <c r="B194" s="12">
        <f>COUNTIF('Extração'!J:J,A194)</f>
        <v>0</v>
      </c>
      <c r="C194" s="12" t="str">
        <f>IF(B194=0,"",COUNTIFS('Extração'!N:N,"Sim",'Extração'!J:J,A194)/B194)</f>
        <v/>
      </c>
      <c r="D194" s="12" t="str">
        <f>IF(B194=0,"",COUNTIFS('Extração'!O:O,"Sim",'Extração'!J:J,A194)/B194)</f>
        <v/>
      </c>
      <c r="E194" s="12" t="str">
        <f>IF(B194=0,"",COUNTIFS('Extração'!N:N,"Parcialmente",'Extração'!J:J,A194)/B194)</f>
        <v/>
      </c>
      <c r="F194" s="12" t="str">
        <f>IF(B194=0,"",COUNTIFS('Extração'!O:O,"Parcialmente",'Extração'!J:J,A194)/B194)</f>
        <v/>
      </c>
      <c r="G194" s="12" t="str">
        <f>IF(B194=0,"",COUNTIFS('Extração'!N:N,"Não",'Extração'!J:J,A194)/B194)</f>
        <v/>
      </c>
      <c r="H194" s="12" t="str">
        <f>IF(B194=0,"",COUNTIFS('Extração'!O:O,"Não",'Extração'!J:J,A194)/B194)</f>
        <v/>
      </c>
      <c r="I194" s="12" t="str">
        <f>IF(B194=0,"",COUNTIFS('Extração'!P:P,"Igual",'Extração'!J:J,A194)/B194)</f>
        <v/>
      </c>
    </row>
    <row r="195">
      <c r="B195" s="12">
        <f>COUNTIF('Extração'!J:J,A195)</f>
        <v>0</v>
      </c>
      <c r="C195" s="12" t="str">
        <f>IF(B195=0,"",COUNTIFS('Extração'!N:N,"Sim",'Extração'!J:J,A195)/B195)</f>
        <v/>
      </c>
      <c r="D195" s="12" t="str">
        <f>IF(B195=0,"",COUNTIFS('Extração'!O:O,"Sim",'Extração'!J:J,A195)/B195)</f>
        <v/>
      </c>
      <c r="E195" s="12" t="str">
        <f>IF(B195=0,"",COUNTIFS('Extração'!N:N,"Parcialmente",'Extração'!J:J,A195)/B195)</f>
        <v/>
      </c>
      <c r="F195" s="12" t="str">
        <f>IF(B195=0,"",COUNTIFS('Extração'!O:O,"Parcialmente",'Extração'!J:J,A195)/B195)</f>
        <v/>
      </c>
      <c r="G195" s="12" t="str">
        <f>IF(B195=0,"",COUNTIFS('Extração'!N:N,"Não",'Extração'!J:J,A195)/B195)</f>
        <v/>
      </c>
      <c r="H195" s="12" t="str">
        <f>IF(B195=0,"",COUNTIFS('Extração'!O:O,"Não",'Extração'!J:J,A195)/B195)</f>
        <v/>
      </c>
      <c r="I195" s="12" t="str">
        <f>IF(B195=0,"",COUNTIFS('Extração'!P:P,"Igual",'Extração'!J:J,A195)/B195)</f>
        <v/>
      </c>
    </row>
    <row r="196">
      <c r="B196" s="12">
        <f>COUNTIF('Extração'!J:J,A196)</f>
        <v>0</v>
      </c>
      <c r="C196" s="12" t="str">
        <f>IF(B196=0,"",COUNTIFS('Extração'!N:N,"Sim",'Extração'!J:J,A196)/B196)</f>
        <v/>
      </c>
      <c r="D196" s="12" t="str">
        <f>IF(B196=0,"",COUNTIFS('Extração'!O:O,"Sim",'Extração'!J:J,A196)/B196)</f>
        <v/>
      </c>
      <c r="E196" s="12" t="str">
        <f>IF(B196=0,"",COUNTIFS('Extração'!N:N,"Parcialmente",'Extração'!J:J,A196)/B196)</f>
        <v/>
      </c>
      <c r="F196" s="12" t="str">
        <f>IF(B196=0,"",COUNTIFS('Extração'!O:O,"Parcialmente",'Extração'!J:J,A196)/B196)</f>
        <v/>
      </c>
      <c r="G196" s="12" t="str">
        <f>IF(B196=0,"",COUNTIFS('Extração'!N:N,"Não",'Extração'!J:J,A196)/B196)</f>
        <v/>
      </c>
      <c r="H196" s="12" t="str">
        <f>IF(B196=0,"",COUNTIFS('Extração'!O:O,"Não",'Extração'!J:J,A196)/B196)</f>
        <v/>
      </c>
      <c r="I196" s="12" t="str">
        <f>IF(B196=0,"",COUNTIFS('Extração'!P:P,"Igual",'Extração'!J:J,A196)/B196)</f>
        <v/>
      </c>
    </row>
    <row r="197">
      <c r="B197" s="12">
        <f>COUNTIF('Extração'!J:J,A197)</f>
        <v>0</v>
      </c>
      <c r="C197" s="12" t="str">
        <f>IF(B197=0,"",COUNTIFS('Extração'!N:N,"Sim",'Extração'!J:J,A197)/B197)</f>
        <v/>
      </c>
      <c r="D197" s="12" t="str">
        <f>IF(B197=0,"",COUNTIFS('Extração'!O:O,"Sim",'Extração'!J:J,A197)/B197)</f>
        <v/>
      </c>
      <c r="E197" s="12" t="str">
        <f>IF(B197=0,"",COUNTIFS('Extração'!N:N,"Parcialmente",'Extração'!J:J,A197)/B197)</f>
        <v/>
      </c>
      <c r="F197" s="12" t="str">
        <f>IF(B197=0,"",COUNTIFS('Extração'!O:O,"Parcialmente",'Extração'!J:J,A197)/B197)</f>
        <v/>
      </c>
      <c r="G197" s="12" t="str">
        <f>IF(B197=0,"",COUNTIFS('Extração'!N:N,"Não",'Extração'!J:J,A197)/B197)</f>
        <v/>
      </c>
      <c r="H197" s="12" t="str">
        <f>IF(B197=0,"",COUNTIFS('Extração'!O:O,"Não",'Extração'!J:J,A197)/B197)</f>
        <v/>
      </c>
      <c r="I197" s="12" t="str">
        <f>IF(B197=0,"",COUNTIFS('Extração'!P:P,"Igual",'Extração'!J:J,A197)/B197)</f>
        <v/>
      </c>
    </row>
    <row r="198">
      <c r="B198" s="12">
        <f>COUNTIF('Extração'!J:J,A198)</f>
        <v>0</v>
      </c>
      <c r="C198" s="12" t="str">
        <f>IF(B198=0,"",COUNTIFS('Extração'!N:N,"Sim",'Extração'!J:J,A198)/B198)</f>
        <v/>
      </c>
      <c r="D198" s="12" t="str">
        <f>IF(B198=0,"",COUNTIFS('Extração'!O:O,"Sim",'Extração'!J:J,A198)/B198)</f>
        <v/>
      </c>
      <c r="E198" s="12" t="str">
        <f>IF(B198=0,"",COUNTIFS('Extração'!N:N,"Parcialmente",'Extração'!J:J,A198)/B198)</f>
        <v/>
      </c>
      <c r="F198" s="12" t="str">
        <f>IF(B198=0,"",COUNTIFS('Extração'!O:O,"Parcialmente",'Extração'!J:J,A198)/B198)</f>
        <v/>
      </c>
      <c r="G198" s="12" t="str">
        <f>IF(B198=0,"",COUNTIFS('Extração'!N:N,"Não",'Extração'!J:J,A198)/B198)</f>
        <v/>
      </c>
      <c r="H198" s="12" t="str">
        <f>IF(B198=0,"",COUNTIFS('Extração'!O:O,"Não",'Extração'!J:J,A198)/B198)</f>
        <v/>
      </c>
      <c r="I198" s="12" t="str">
        <f>IF(B198=0,"",COUNTIFS('Extração'!P:P,"Igual",'Extração'!J:J,A198)/B198)</f>
        <v/>
      </c>
    </row>
    <row r="199">
      <c r="B199" s="12">
        <f>COUNTIF('Extração'!J:J,A199)</f>
        <v>0</v>
      </c>
      <c r="C199" s="12" t="str">
        <f>IF(B199=0,"",COUNTIFS('Extração'!N:N,"Sim",'Extração'!J:J,A199)/B199)</f>
        <v/>
      </c>
      <c r="D199" s="12" t="str">
        <f>IF(B199=0,"",COUNTIFS('Extração'!O:O,"Sim",'Extração'!J:J,A199)/B199)</f>
        <v/>
      </c>
      <c r="E199" s="12" t="str">
        <f>IF(B199=0,"",COUNTIFS('Extração'!N:N,"Parcialmente",'Extração'!J:J,A199)/B199)</f>
        <v/>
      </c>
      <c r="F199" s="12" t="str">
        <f>IF(B199=0,"",COUNTIFS('Extração'!O:O,"Parcialmente",'Extração'!J:J,A199)/B199)</f>
        <v/>
      </c>
      <c r="G199" s="12" t="str">
        <f>IF(B199=0,"",COUNTIFS('Extração'!N:N,"Não",'Extração'!J:J,A199)/B199)</f>
        <v/>
      </c>
      <c r="H199" s="12" t="str">
        <f>IF(B199=0,"",COUNTIFS('Extração'!O:O,"Não",'Extração'!J:J,A199)/B199)</f>
        <v/>
      </c>
      <c r="I199" s="12" t="str">
        <f>IF(B199=0,"",COUNTIFS('Extração'!P:P,"Igual",'Extração'!J:J,A199)/B199)</f>
        <v/>
      </c>
    </row>
    <row r="200">
      <c r="B200" s="12">
        <f>COUNTIF('Extração'!J:J,A200)</f>
        <v>0</v>
      </c>
      <c r="C200" s="12" t="str">
        <f>IF(B200=0,"",COUNTIFS('Extração'!N:N,"Sim",'Extração'!J:J,A200)/B200)</f>
        <v/>
      </c>
      <c r="D200" s="12" t="str">
        <f>IF(B200=0,"",COUNTIFS('Extração'!O:O,"Sim",'Extração'!J:J,A200)/B200)</f>
        <v/>
      </c>
      <c r="E200" s="12" t="str">
        <f>IF(B200=0,"",COUNTIFS('Extração'!N:N,"Parcialmente",'Extração'!J:J,A200)/B200)</f>
        <v/>
      </c>
      <c r="F200" s="12" t="str">
        <f>IF(B200=0,"",COUNTIFS('Extração'!O:O,"Parcialmente",'Extração'!J:J,A200)/B200)</f>
        <v/>
      </c>
      <c r="G200" s="12" t="str">
        <f>IF(B200=0,"",COUNTIFS('Extração'!N:N,"Não",'Extração'!J:J,A200)/B200)</f>
        <v/>
      </c>
      <c r="H200" s="12" t="str">
        <f>IF(B200=0,"",COUNTIFS('Extração'!O:O,"Não",'Extração'!J:J,A200)/B200)</f>
        <v/>
      </c>
      <c r="I200" s="12" t="str">
        <f>IF(B200=0,"",COUNTIFS('Extração'!P:P,"Igual",'Extração'!J:J,A200)/B200)</f>
        <v/>
      </c>
    </row>
    <row r="201">
      <c r="B201" s="12">
        <f>COUNTIF('Extração'!J:J,A201)</f>
        <v>0</v>
      </c>
      <c r="C201" s="12" t="str">
        <f>IF(B201=0,"",COUNTIFS('Extração'!N:N,"Sim",'Extração'!J:J,A201)/B201)</f>
        <v/>
      </c>
      <c r="D201" s="12" t="str">
        <f>IF(B201=0,"",COUNTIFS('Extração'!O:O,"Sim",'Extração'!J:J,A201)/B201)</f>
        <v/>
      </c>
      <c r="E201" s="12" t="str">
        <f>IF(B201=0,"",COUNTIFS('Extração'!N:N,"Parcialmente",'Extração'!J:J,A201)/B201)</f>
        <v/>
      </c>
      <c r="F201" s="12" t="str">
        <f>IF(B201=0,"",COUNTIFS('Extração'!O:O,"Parcialmente",'Extração'!J:J,A201)/B201)</f>
        <v/>
      </c>
      <c r="G201" s="12" t="str">
        <f>IF(B201=0,"",COUNTIFS('Extração'!N:N,"Não",'Extração'!J:J,A201)/B201)</f>
        <v/>
      </c>
      <c r="H201" s="12" t="str">
        <f>IF(B201=0,"",COUNTIFS('Extração'!O:O,"Não",'Extração'!J:J,A201)/B201)</f>
        <v/>
      </c>
      <c r="I201" s="12" t="str">
        <f>IF(B201=0,"",COUNTIFS('Extração'!P:P,"Igual",'Extração'!J:J,A201)/B201)</f>
        <v/>
      </c>
    </row>
    <row r="202">
      <c r="B202" s="12">
        <f>COUNTIF('Extração'!J:J,A202)</f>
        <v>0</v>
      </c>
      <c r="C202" s="12" t="str">
        <f>IF(B202=0,"",COUNTIFS('Extração'!N:N,"Sim",'Extração'!J:J,A202)/B202)</f>
        <v/>
      </c>
      <c r="D202" s="12" t="str">
        <f>IF(B202=0,"",COUNTIFS('Extração'!O:O,"Sim",'Extração'!J:J,A202)/B202)</f>
        <v/>
      </c>
      <c r="E202" s="12" t="str">
        <f>IF(B202=0,"",COUNTIFS('Extração'!N:N,"Parcialmente",'Extração'!J:J,A202)/B202)</f>
        <v/>
      </c>
      <c r="F202" s="12" t="str">
        <f>IF(B202=0,"",COUNTIFS('Extração'!O:O,"Parcialmente",'Extração'!J:J,A202)/B202)</f>
        <v/>
      </c>
      <c r="G202" s="12" t="str">
        <f>IF(B202=0,"",COUNTIFS('Extração'!N:N,"Não",'Extração'!J:J,A202)/B202)</f>
        <v/>
      </c>
      <c r="H202" s="12" t="str">
        <f>IF(B202=0,"",COUNTIFS('Extração'!O:O,"Não",'Extração'!J:J,A202)/B202)</f>
        <v/>
      </c>
      <c r="I202" s="12" t="str">
        <f>IF(B202=0,"",COUNTIFS('Extração'!P:P,"Igual",'Extração'!J:J,A202)/B202)</f>
        <v/>
      </c>
    </row>
    <row r="203">
      <c r="B203" s="12">
        <f>COUNTIF('Extração'!J:J,A203)</f>
        <v>0</v>
      </c>
      <c r="C203" s="12" t="str">
        <f>IF(B203=0,"",COUNTIFS('Extração'!N:N,"Sim",'Extração'!J:J,A203)/B203)</f>
        <v/>
      </c>
      <c r="D203" s="12" t="str">
        <f>IF(B203=0,"",COUNTIFS('Extração'!O:O,"Sim",'Extração'!J:J,A203)/B203)</f>
        <v/>
      </c>
      <c r="E203" s="12" t="str">
        <f>IF(B203=0,"",COUNTIFS('Extração'!N:N,"Parcialmente",'Extração'!J:J,A203)/B203)</f>
        <v/>
      </c>
      <c r="F203" s="12" t="str">
        <f>IF(B203=0,"",COUNTIFS('Extração'!O:O,"Parcialmente",'Extração'!J:J,A203)/B203)</f>
        <v/>
      </c>
      <c r="G203" s="12" t="str">
        <f>IF(B203=0,"",COUNTIFS('Extração'!N:N,"Não",'Extração'!J:J,A203)/B203)</f>
        <v/>
      </c>
      <c r="H203" s="12" t="str">
        <f>IF(B203=0,"",COUNTIFS('Extração'!O:O,"Não",'Extração'!J:J,A203)/B203)</f>
        <v/>
      </c>
      <c r="I203" s="12" t="str">
        <f>IF(B203=0,"",COUNTIFS('Extração'!P:P,"Igual",'Extração'!J:J,A203)/B203)</f>
        <v/>
      </c>
    </row>
    <row r="204">
      <c r="B204" s="12">
        <f>COUNTIF('Extração'!J:J,A204)</f>
        <v>0</v>
      </c>
      <c r="C204" s="12" t="str">
        <f>IF(B204=0,"",COUNTIFS('Extração'!N:N,"Sim",'Extração'!J:J,A204)/B204)</f>
        <v/>
      </c>
      <c r="D204" s="12" t="str">
        <f>IF(B204=0,"",COUNTIFS('Extração'!O:O,"Sim",'Extração'!J:J,A204)/B204)</f>
        <v/>
      </c>
      <c r="E204" s="12" t="str">
        <f>IF(B204=0,"",COUNTIFS('Extração'!N:N,"Parcialmente",'Extração'!J:J,A204)/B204)</f>
        <v/>
      </c>
      <c r="F204" s="12" t="str">
        <f>IF(B204=0,"",COUNTIFS('Extração'!O:O,"Parcialmente",'Extração'!J:J,A204)/B204)</f>
        <v/>
      </c>
      <c r="G204" s="12" t="str">
        <f>IF(B204=0,"",COUNTIFS('Extração'!N:N,"Não",'Extração'!J:J,A204)/B204)</f>
        <v/>
      </c>
      <c r="H204" s="12" t="str">
        <f>IF(B204=0,"",COUNTIFS('Extração'!O:O,"Não",'Extração'!J:J,A204)/B204)</f>
        <v/>
      </c>
      <c r="I204" s="12" t="str">
        <f>IF(B204=0,"",COUNTIFS('Extração'!P:P,"Igual",'Extração'!J:J,A204)/B204)</f>
        <v/>
      </c>
    </row>
    <row r="205">
      <c r="B205" s="12">
        <f>COUNTIF('Extração'!J:J,A205)</f>
        <v>0</v>
      </c>
      <c r="C205" s="12" t="str">
        <f>IF(B205=0,"",COUNTIFS('Extração'!N:N,"Sim",'Extração'!J:J,A205)/B205)</f>
        <v/>
      </c>
      <c r="D205" s="12" t="str">
        <f>IF(B205=0,"",COUNTIFS('Extração'!O:O,"Sim",'Extração'!J:J,A205)/B205)</f>
        <v/>
      </c>
      <c r="E205" s="12" t="str">
        <f>IF(B205=0,"",COUNTIFS('Extração'!N:N,"Parcialmente",'Extração'!J:J,A205)/B205)</f>
        <v/>
      </c>
      <c r="F205" s="12" t="str">
        <f>IF(B205=0,"",COUNTIFS('Extração'!O:O,"Parcialmente",'Extração'!J:J,A205)/B205)</f>
        <v/>
      </c>
      <c r="G205" s="12" t="str">
        <f>IF(B205=0,"",COUNTIFS('Extração'!N:N,"Não",'Extração'!J:J,A205)/B205)</f>
        <v/>
      </c>
      <c r="H205" s="12" t="str">
        <f>IF(B205=0,"",COUNTIFS('Extração'!O:O,"Não",'Extração'!J:J,A205)/B205)</f>
        <v/>
      </c>
      <c r="I205" s="12" t="str">
        <f>IF(B205=0,"",COUNTIFS('Extração'!P:P,"Igual",'Extração'!J:J,A205)/B205)</f>
        <v/>
      </c>
    </row>
    <row r="206">
      <c r="B206" s="12">
        <f>COUNTIF('Extração'!J:J,A206)</f>
        <v>0</v>
      </c>
      <c r="C206" s="12" t="str">
        <f>IF(B206=0,"",COUNTIFS('Extração'!N:N,"Sim",'Extração'!J:J,A206)/B206)</f>
        <v/>
      </c>
      <c r="D206" s="12" t="str">
        <f>IF(B206=0,"",COUNTIFS('Extração'!O:O,"Sim",'Extração'!J:J,A206)/B206)</f>
        <v/>
      </c>
      <c r="E206" s="12" t="str">
        <f>IF(B206=0,"",COUNTIFS('Extração'!N:N,"Parcialmente",'Extração'!J:J,A206)/B206)</f>
        <v/>
      </c>
      <c r="F206" s="12" t="str">
        <f>IF(B206=0,"",COUNTIFS('Extração'!O:O,"Parcialmente",'Extração'!J:J,A206)/B206)</f>
        <v/>
      </c>
      <c r="G206" s="12" t="str">
        <f>IF(B206=0,"",COUNTIFS('Extração'!N:N,"Não",'Extração'!J:J,A206)/B206)</f>
        <v/>
      </c>
      <c r="H206" s="12" t="str">
        <f>IF(B206=0,"",COUNTIFS('Extração'!O:O,"Não",'Extração'!J:J,A206)/B206)</f>
        <v/>
      </c>
      <c r="I206" s="12" t="str">
        <f>IF(B206=0,"",COUNTIFS('Extração'!P:P,"Igual",'Extração'!J:J,A206)/B206)</f>
        <v/>
      </c>
    </row>
    <row r="207">
      <c r="B207" s="12">
        <f>COUNTIF('Extração'!J:J,A207)</f>
        <v>0</v>
      </c>
      <c r="C207" s="12" t="str">
        <f>IF(B207=0,"",COUNTIFS('Extração'!N:N,"Sim",'Extração'!J:J,A207)/B207)</f>
        <v/>
      </c>
      <c r="D207" s="12" t="str">
        <f>IF(B207=0,"",COUNTIFS('Extração'!O:O,"Sim",'Extração'!J:J,A207)/B207)</f>
        <v/>
      </c>
      <c r="E207" s="12" t="str">
        <f>IF(B207=0,"",COUNTIFS('Extração'!N:N,"Parcialmente",'Extração'!J:J,A207)/B207)</f>
        <v/>
      </c>
      <c r="F207" s="12" t="str">
        <f>IF(B207=0,"",COUNTIFS('Extração'!O:O,"Parcialmente",'Extração'!J:J,A207)/B207)</f>
        <v/>
      </c>
      <c r="G207" s="12" t="str">
        <f>IF(B207=0,"",COUNTIFS('Extração'!N:N,"Não",'Extração'!J:J,A207)/B207)</f>
        <v/>
      </c>
      <c r="H207" s="12" t="str">
        <f>IF(B207=0,"",COUNTIFS('Extração'!O:O,"Não",'Extração'!J:J,A207)/B207)</f>
        <v/>
      </c>
      <c r="I207" s="12" t="str">
        <f>IF(B207=0,"",COUNTIFS('Extração'!P:P,"Igual",'Extração'!J:J,A207)/B207)</f>
        <v/>
      </c>
    </row>
    <row r="208">
      <c r="B208" s="12">
        <f>COUNTIF('Extração'!J:J,A208)</f>
        <v>0</v>
      </c>
      <c r="C208" s="12" t="str">
        <f>IF(B208=0,"",COUNTIFS('Extração'!N:N,"Sim",'Extração'!J:J,A208)/B208)</f>
        <v/>
      </c>
      <c r="D208" s="12" t="str">
        <f>IF(B208=0,"",COUNTIFS('Extração'!O:O,"Sim",'Extração'!J:J,A208)/B208)</f>
        <v/>
      </c>
      <c r="E208" s="12" t="str">
        <f>IF(B208=0,"",COUNTIFS('Extração'!N:N,"Parcialmente",'Extração'!J:J,A208)/B208)</f>
        <v/>
      </c>
      <c r="F208" s="12" t="str">
        <f>IF(B208=0,"",COUNTIFS('Extração'!O:O,"Parcialmente",'Extração'!J:J,A208)/B208)</f>
        <v/>
      </c>
      <c r="G208" s="12" t="str">
        <f>IF(B208=0,"",COUNTIFS('Extração'!N:N,"Não",'Extração'!J:J,A208)/B208)</f>
        <v/>
      </c>
      <c r="H208" s="12" t="str">
        <f>IF(B208=0,"",COUNTIFS('Extração'!O:O,"Não",'Extração'!J:J,A208)/B208)</f>
        <v/>
      </c>
      <c r="I208" s="12" t="str">
        <f>IF(B208=0,"",COUNTIFS('Extração'!P:P,"Igual",'Extração'!J:J,A208)/B208)</f>
        <v/>
      </c>
    </row>
    <row r="209">
      <c r="B209" s="12">
        <f>COUNTIF('Extração'!J:J,A209)</f>
        <v>0</v>
      </c>
      <c r="C209" s="12" t="str">
        <f>IF(B209=0,"",COUNTIFS('Extração'!N:N,"Sim",'Extração'!J:J,A209)/B209)</f>
        <v/>
      </c>
      <c r="D209" s="12" t="str">
        <f>IF(B209=0,"",COUNTIFS('Extração'!O:O,"Sim",'Extração'!J:J,A209)/B209)</f>
        <v/>
      </c>
      <c r="E209" s="12" t="str">
        <f>IF(B209=0,"",COUNTIFS('Extração'!N:N,"Parcialmente",'Extração'!J:J,A209)/B209)</f>
        <v/>
      </c>
      <c r="F209" s="12" t="str">
        <f>IF(B209=0,"",COUNTIFS('Extração'!O:O,"Parcialmente",'Extração'!J:J,A209)/B209)</f>
        <v/>
      </c>
      <c r="G209" s="12" t="str">
        <f>IF(B209=0,"",COUNTIFS('Extração'!N:N,"Não",'Extração'!J:J,A209)/B209)</f>
        <v/>
      </c>
      <c r="H209" s="12" t="str">
        <f>IF(B209=0,"",COUNTIFS('Extração'!O:O,"Não",'Extração'!J:J,A209)/B209)</f>
        <v/>
      </c>
      <c r="I209" s="12" t="str">
        <f>IF(B209=0,"",COUNTIFS('Extração'!P:P,"Igual",'Extração'!J:J,A209)/B209)</f>
        <v/>
      </c>
    </row>
    <row r="210">
      <c r="B210" s="12">
        <f>COUNTIF('Extração'!J:J,A210)</f>
        <v>0</v>
      </c>
      <c r="C210" s="12" t="str">
        <f>IF(B210=0,"",COUNTIFS('Extração'!N:N,"Sim",'Extração'!J:J,A210)/B210)</f>
        <v/>
      </c>
      <c r="D210" s="12" t="str">
        <f>IF(B210=0,"",COUNTIFS('Extração'!O:O,"Sim",'Extração'!J:J,A210)/B210)</f>
        <v/>
      </c>
      <c r="E210" s="12" t="str">
        <f>IF(B210=0,"",COUNTIFS('Extração'!N:N,"Parcialmente",'Extração'!J:J,A210)/B210)</f>
        <v/>
      </c>
      <c r="F210" s="12" t="str">
        <f>IF(B210=0,"",COUNTIFS('Extração'!O:O,"Parcialmente",'Extração'!J:J,A210)/B210)</f>
        <v/>
      </c>
      <c r="G210" s="12" t="str">
        <f>IF(B210=0,"",COUNTIFS('Extração'!N:N,"Não",'Extração'!J:J,A210)/B210)</f>
        <v/>
      </c>
      <c r="H210" s="12" t="str">
        <f>IF(B210=0,"",COUNTIFS('Extração'!O:O,"Não",'Extração'!J:J,A210)/B210)</f>
        <v/>
      </c>
      <c r="I210" s="12" t="str">
        <f>IF(B210=0,"",COUNTIFS('Extração'!P:P,"Igual",'Extração'!J:J,A210)/B210)</f>
        <v/>
      </c>
    </row>
    <row r="211">
      <c r="B211" s="12">
        <f>COUNTIF('Extração'!J:J,A211)</f>
        <v>0</v>
      </c>
      <c r="C211" s="12" t="str">
        <f>IF(B211=0,"",COUNTIFS('Extração'!N:N,"Sim",'Extração'!J:J,A211)/B211)</f>
        <v/>
      </c>
      <c r="D211" s="12" t="str">
        <f>IF(B211=0,"",COUNTIFS('Extração'!O:O,"Sim",'Extração'!J:J,A211)/B211)</f>
        <v/>
      </c>
      <c r="E211" s="12" t="str">
        <f>IF(B211=0,"",COUNTIFS('Extração'!N:N,"Parcialmente",'Extração'!J:J,A211)/B211)</f>
        <v/>
      </c>
      <c r="F211" s="12" t="str">
        <f>IF(B211=0,"",COUNTIFS('Extração'!O:O,"Parcialmente",'Extração'!J:J,A211)/B211)</f>
        <v/>
      </c>
      <c r="G211" s="12" t="str">
        <f>IF(B211=0,"",COUNTIFS('Extração'!N:N,"Não",'Extração'!J:J,A211)/B211)</f>
        <v/>
      </c>
      <c r="H211" s="12" t="str">
        <f>IF(B211=0,"",COUNTIFS('Extração'!O:O,"Não",'Extração'!J:J,A211)/B211)</f>
        <v/>
      </c>
      <c r="I211" s="12" t="str">
        <f>IF(B211=0,"",COUNTIFS('Extração'!P:P,"Igual",'Extração'!J:J,A211)/B211)</f>
        <v/>
      </c>
    </row>
    <row r="212">
      <c r="B212" s="12">
        <f>COUNTIF('Extração'!J:J,A212)</f>
        <v>0</v>
      </c>
      <c r="C212" s="12" t="str">
        <f>IF(B212=0,"",COUNTIFS('Extração'!N:N,"Sim",'Extração'!J:J,A212)/B212)</f>
        <v/>
      </c>
      <c r="D212" s="12" t="str">
        <f>IF(B212=0,"",COUNTIFS('Extração'!O:O,"Sim",'Extração'!J:J,A212)/B212)</f>
        <v/>
      </c>
      <c r="E212" s="12" t="str">
        <f>IF(B212=0,"",COUNTIFS('Extração'!N:N,"Parcialmente",'Extração'!J:J,A212)/B212)</f>
        <v/>
      </c>
      <c r="F212" s="12" t="str">
        <f>IF(B212=0,"",COUNTIFS('Extração'!O:O,"Parcialmente",'Extração'!J:J,A212)/B212)</f>
        <v/>
      </c>
      <c r="G212" s="12" t="str">
        <f>IF(B212=0,"",COUNTIFS('Extração'!N:N,"Não",'Extração'!J:J,A212)/B212)</f>
        <v/>
      </c>
      <c r="H212" s="12" t="str">
        <f>IF(B212=0,"",COUNTIFS('Extração'!O:O,"Não",'Extração'!J:J,A212)/B212)</f>
        <v/>
      </c>
      <c r="I212" s="12" t="str">
        <f>IF(B212=0,"",COUNTIFS('Extração'!P:P,"Igual",'Extração'!J:J,A212)/B212)</f>
        <v/>
      </c>
    </row>
    <row r="213">
      <c r="B213" s="12">
        <f>COUNTIF('Extração'!J:J,A213)</f>
        <v>0</v>
      </c>
      <c r="C213" s="12" t="str">
        <f>IF(B213=0,"",COUNTIFS('Extração'!N:N,"Sim",'Extração'!J:J,A213)/B213)</f>
        <v/>
      </c>
      <c r="D213" s="12" t="str">
        <f>IF(B213=0,"",COUNTIFS('Extração'!O:O,"Sim",'Extração'!J:J,A213)/B213)</f>
        <v/>
      </c>
      <c r="E213" s="12" t="str">
        <f>IF(B213=0,"",COUNTIFS('Extração'!N:N,"Parcialmente",'Extração'!J:J,A213)/B213)</f>
        <v/>
      </c>
      <c r="F213" s="12" t="str">
        <f>IF(B213=0,"",COUNTIFS('Extração'!O:O,"Parcialmente",'Extração'!J:J,A213)/B213)</f>
        <v/>
      </c>
      <c r="G213" s="12" t="str">
        <f>IF(B213=0,"",COUNTIFS('Extração'!N:N,"Não",'Extração'!J:J,A213)/B213)</f>
        <v/>
      </c>
      <c r="H213" s="12" t="str">
        <f>IF(B213=0,"",COUNTIFS('Extração'!O:O,"Não",'Extração'!J:J,A213)/B213)</f>
        <v/>
      </c>
      <c r="I213" s="12" t="str">
        <f>IF(B213=0,"",COUNTIFS('Extração'!P:P,"Igual",'Extração'!J:J,A213)/B213)</f>
        <v/>
      </c>
    </row>
    <row r="214">
      <c r="B214" s="12">
        <f>COUNTIF('Extração'!J:J,A214)</f>
        <v>0</v>
      </c>
      <c r="C214" s="12" t="str">
        <f>IF(B214=0,"",COUNTIFS('Extração'!N:N,"Sim",'Extração'!J:J,A214)/B214)</f>
        <v/>
      </c>
      <c r="D214" s="12" t="str">
        <f>IF(B214=0,"",COUNTIFS('Extração'!O:O,"Sim",'Extração'!J:J,A214)/B214)</f>
        <v/>
      </c>
      <c r="E214" s="12" t="str">
        <f>IF(B214=0,"",COUNTIFS('Extração'!N:N,"Parcialmente",'Extração'!J:J,A214)/B214)</f>
        <v/>
      </c>
      <c r="F214" s="12" t="str">
        <f>IF(B214=0,"",COUNTIFS('Extração'!O:O,"Parcialmente",'Extração'!J:J,A214)/B214)</f>
        <v/>
      </c>
      <c r="G214" s="12" t="str">
        <f>IF(B214=0,"",COUNTIFS('Extração'!N:N,"Não",'Extração'!J:J,A214)/B214)</f>
        <v/>
      </c>
      <c r="H214" s="12" t="str">
        <f>IF(B214=0,"",COUNTIFS('Extração'!O:O,"Não",'Extração'!J:J,A214)/B214)</f>
        <v/>
      </c>
      <c r="I214" s="12" t="str">
        <f>IF(B214=0,"",COUNTIFS('Extração'!P:P,"Igual",'Extração'!J:J,A214)/B214)</f>
        <v/>
      </c>
    </row>
    <row r="215">
      <c r="B215" s="12">
        <f>COUNTIF('Extração'!J:J,A215)</f>
        <v>0</v>
      </c>
      <c r="C215" s="12" t="str">
        <f>IF(B215=0,"",COUNTIFS('Extração'!N:N,"Sim",'Extração'!J:J,A215)/B215)</f>
        <v/>
      </c>
      <c r="D215" s="12" t="str">
        <f>IF(B215=0,"",COUNTIFS('Extração'!O:O,"Sim",'Extração'!J:J,A215)/B215)</f>
        <v/>
      </c>
      <c r="E215" s="12" t="str">
        <f>IF(B215=0,"",COUNTIFS('Extração'!N:N,"Parcialmente",'Extração'!J:J,A215)/B215)</f>
        <v/>
      </c>
      <c r="F215" s="12" t="str">
        <f>IF(B215=0,"",COUNTIFS('Extração'!O:O,"Parcialmente",'Extração'!J:J,A215)/B215)</f>
        <v/>
      </c>
      <c r="G215" s="12" t="str">
        <f>IF(B215=0,"",COUNTIFS('Extração'!N:N,"Não",'Extração'!J:J,A215)/B215)</f>
        <v/>
      </c>
      <c r="H215" s="12" t="str">
        <f>IF(B215=0,"",COUNTIFS('Extração'!O:O,"Não",'Extração'!J:J,A215)/B215)</f>
        <v/>
      </c>
      <c r="I215" s="12" t="str">
        <f>IF(B215=0,"",COUNTIFS('Extração'!P:P,"Igual",'Extração'!J:J,A215)/B215)</f>
        <v/>
      </c>
    </row>
    <row r="216">
      <c r="B216" s="12">
        <f>COUNTIF('Extração'!J:J,A216)</f>
        <v>0</v>
      </c>
      <c r="C216" s="12" t="str">
        <f>IF(B216=0,"",COUNTIFS('Extração'!N:N,"Sim",'Extração'!J:J,A216)/B216)</f>
        <v/>
      </c>
      <c r="D216" s="12" t="str">
        <f>IF(B216=0,"",COUNTIFS('Extração'!O:O,"Sim",'Extração'!J:J,A216)/B216)</f>
        <v/>
      </c>
      <c r="E216" s="12" t="str">
        <f>IF(B216=0,"",COUNTIFS('Extração'!N:N,"Parcialmente",'Extração'!J:J,A216)/B216)</f>
        <v/>
      </c>
      <c r="F216" s="12" t="str">
        <f>IF(B216=0,"",COUNTIFS('Extração'!O:O,"Parcialmente",'Extração'!J:J,A216)/B216)</f>
        <v/>
      </c>
      <c r="G216" s="12" t="str">
        <f>IF(B216=0,"",COUNTIFS('Extração'!N:N,"Não",'Extração'!J:J,A216)/B216)</f>
        <v/>
      </c>
      <c r="H216" s="12" t="str">
        <f>IF(B216=0,"",COUNTIFS('Extração'!O:O,"Não",'Extração'!J:J,A216)/B216)</f>
        <v/>
      </c>
      <c r="I216" s="12" t="str">
        <f>IF(B216=0,"",COUNTIFS('Extração'!P:P,"Igual",'Extração'!J:J,A216)/B216)</f>
        <v/>
      </c>
    </row>
    <row r="217">
      <c r="B217" s="12">
        <f>COUNTIF('Extração'!J:J,A217)</f>
        <v>0</v>
      </c>
      <c r="C217" s="12" t="str">
        <f>IF(B217=0,"",COUNTIFS('Extração'!N:N,"Sim",'Extração'!J:J,A217)/B217)</f>
        <v/>
      </c>
      <c r="D217" s="12" t="str">
        <f>IF(B217=0,"",COUNTIFS('Extração'!O:O,"Sim",'Extração'!J:J,A217)/B217)</f>
        <v/>
      </c>
      <c r="E217" s="12" t="str">
        <f>IF(B217=0,"",COUNTIFS('Extração'!N:N,"Parcialmente",'Extração'!J:J,A217)/B217)</f>
        <v/>
      </c>
      <c r="F217" s="12" t="str">
        <f>IF(B217=0,"",COUNTIFS('Extração'!O:O,"Parcialmente",'Extração'!J:J,A217)/B217)</f>
        <v/>
      </c>
      <c r="G217" s="12" t="str">
        <f>IF(B217=0,"",COUNTIFS('Extração'!N:N,"Não",'Extração'!J:J,A217)/B217)</f>
        <v/>
      </c>
      <c r="H217" s="12" t="str">
        <f>IF(B217=0,"",COUNTIFS('Extração'!O:O,"Não",'Extração'!J:J,A217)/B217)</f>
        <v/>
      </c>
      <c r="I217" s="12" t="str">
        <f>IF(B217=0,"",COUNTIFS('Extração'!P:P,"Igual",'Extração'!J:J,A217)/B217)</f>
        <v/>
      </c>
    </row>
    <row r="218">
      <c r="B218" s="12">
        <f>COUNTIF('Extração'!J:J,A218)</f>
        <v>0</v>
      </c>
      <c r="C218" s="12" t="str">
        <f>IF(B218=0,"",COUNTIFS('Extração'!N:N,"Sim",'Extração'!J:J,A218)/B218)</f>
        <v/>
      </c>
      <c r="D218" s="12" t="str">
        <f>IF(B218=0,"",COUNTIFS('Extração'!O:O,"Sim",'Extração'!J:J,A218)/B218)</f>
        <v/>
      </c>
      <c r="E218" s="12" t="str">
        <f>IF(B218=0,"",COUNTIFS('Extração'!N:N,"Parcialmente",'Extração'!J:J,A218)/B218)</f>
        <v/>
      </c>
      <c r="F218" s="12" t="str">
        <f>IF(B218=0,"",COUNTIFS('Extração'!O:O,"Parcialmente",'Extração'!J:J,A218)/B218)</f>
        <v/>
      </c>
      <c r="G218" s="12" t="str">
        <f>IF(B218=0,"",COUNTIFS('Extração'!N:N,"Não",'Extração'!J:J,A218)/B218)</f>
        <v/>
      </c>
      <c r="H218" s="12" t="str">
        <f>IF(B218=0,"",COUNTIFS('Extração'!O:O,"Não",'Extração'!J:J,A218)/B218)</f>
        <v/>
      </c>
      <c r="I218" s="12" t="str">
        <f>IF(B218=0,"",COUNTIFS('Extração'!P:P,"Igual",'Extração'!J:J,A218)/B218)</f>
        <v/>
      </c>
    </row>
    <row r="219">
      <c r="B219" s="12">
        <f>COUNTIF('Extração'!J:J,A219)</f>
        <v>0</v>
      </c>
      <c r="C219" s="12" t="str">
        <f>IF(B219=0,"",COUNTIFS('Extração'!N:N,"Sim",'Extração'!J:J,A219)/B219)</f>
        <v/>
      </c>
      <c r="D219" s="12" t="str">
        <f>IF(B219=0,"",COUNTIFS('Extração'!O:O,"Sim",'Extração'!J:J,A219)/B219)</f>
        <v/>
      </c>
      <c r="E219" s="12" t="str">
        <f>IF(B219=0,"",COUNTIFS('Extração'!N:N,"Parcialmente",'Extração'!J:J,A219)/B219)</f>
        <v/>
      </c>
      <c r="F219" s="12" t="str">
        <f>IF(B219=0,"",COUNTIFS('Extração'!O:O,"Parcialmente",'Extração'!J:J,A219)/B219)</f>
        <v/>
      </c>
      <c r="G219" s="12" t="str">
        <f>IF(B219=0,"",COUNTIFS('Extração'!N:N,"Não",'Extração'!J:J,A219)/B219)</f>
        <v/>
      </c>
      <c r="H219" s="12" t="str">
        <f>IF(B219=0,"",COUNTIFS('Extração'!O:O,"Não",'Extração'!J:J,A219)/B219)</f>
        <v/>
      </c>
      <c r="I219" s="12" t="str">
        <f>IF(B219=0,"",COUNTIFS('Extração'!P:P,"Igual",'Extração'!J:J,A219)/B219)</f>
        <v/>
      </c>
    </row>
    <row r="220">
      <c r="B220" s="12">
        <f>COUNTIF('Extração'!J:J,A220)</f>
        <v>0</v>
      </c>
      <c r="C220" s="12" t="str">
        <f>IF(B220=0,"",COUNTIFS('Extração'!N:N,"Sim",'Extração'!J:J,A220)/B220)</f>
        <v/>
      </c>
      <c r="D220" s="12" t="str">
        <f>IF(B220=0,"",COUNTIFS('Extração'!O:O,"Sim",'Extração'!J:J,A220)/B220)</f>
        <v/>
      </c>
      <c r="E220" s="12" t="str">
        <f>IF(B220=0,"",COUNTIFS('Extração'!N:N,"Parcialmente",'Extração'!J:J,A220)/B220)</f>
        <v/>
      </c>
      <c r="F220" s="12" t="str">
        <f>IF(B220=0,"",COUNTIFS('Extração'!O:O,"Parcialmente",'Extração'!J:J,A220)/B220)</f>
        <v/>
      </c>
      <c r="G220" s="12" t="str">
        <f>IF(B220=0,"",COUNTIFS('Extração'!N:N,"Não",'Extração'!J:J,A220)/B220)</f>
        <v/>
      </c>
      <c r="H220" s="12" t="str">
        <f>IF(B220=0,"",COUNTIFS('Extração'!O:O,"Não",'Extração'!J:J,A220)/B220)</f>
        <v/>
      </c>
      <c r="I220" s="12" t="str">
        <f>IF(B220=0,"",COUNTIFS('Extração'!P:P,"Igual",'Extração'!J:J,A220)/B220)</f>
        <v/>
      </c>
    </row>
    <row r="221">
      <c r="B221" s="12">
        <f>COUNTIF('Extração'!J:J,A221)</f>
        <v>0</v>
      </c>
      <c r="C221" s="12" t="str">
        <f>IF(B221=0,"",COUNTIFS('Extração'!N:N,"Sim",'Extração'!J:J,A221)/B221)</f>
        <v/>
      </c>
      <c r="D221" s="12" t="str">
        <f>IF(B221=0,"",COUNTIFS('Extração'!O:O,"Sim",'Extração'!J:J,A221)/B221)</f>
        <v/>
      </c>
      <c r="E221" s="12" t="str">
        <f>IF(B221=0,"",COUNTIFS('Extração'!N:N,"Parcialmente",'Extração'!J:J,A221)/B221)</f>
        <v/>
      </c>
      <c r="F221" s="12" t="str">
        <f>IF(B221=0,"",COUNTIFS('Extração'!O:O,"Parcialmente",'Extração'!J:J,A221)/B221)</f>
        <v/>
      </c>
      <c r="G221" s="12" t="str">
        <f>IF(B221=0,"",COUNTIFS('Extração'!N:N,"Não",'Extração'!J:J,A221)/B221)</f>
        <v/>
      </c>
      <c r="H221" s="12" t="str">
        <f>IF(B221=0,"",COUNTIFS('Extração'!O:O,"Não",'Extração'!J:J,A221)/B221)</f>
        <v/>
      </c>
      <c r="I221" s="12" t="str">
        <f>IF(B221=0,"",COUNTIFS('Extração'!P:P,"Igual",'Extração'!J:J,A221)/B221)</f>
        <v/>
      </c>
    </row>
    <row r="222">
      <c r="B222" s="12">
        <f>COUNTIF('Extração'!J:J,A222)</f>
        <v>0</v>
      </c>
      <c r="C222" s="12" t="str">
        <f>IF(B222=0,"",COUNTIFS('Extração'!N:N,"Sim",'Extração'!J:J,A222)/B222)</f>
        <v/>
      </c>
      <c r="D222" s="12" t="str">
        <f>IF(B222=0,"",COUNTIFS('Extração'!O:O,"Sim",'Extração'!J:J,A222)/B222)</f>
        <v/>
      </c>
      <c r="E222" s="12" t="str">
        <f>IF(B222=0,"",COUNTIFS('Extração'!N:N,"Parcialmente",'Extração'!J:J,A222)/B222)</f>
        <v/>
      </c>
      <c r="F222" s="12" t="str">
        <f>IF(B222=0,"",COUNTIFS('Extração'!O:O,"Parcialmente",'Extração'!J:J,A222)/B222)</f>
        <v/>
      </c>
      <c r="G222" s="12" t="str">
        <f>IF(B222=0,"",COUNTIFS('Extração'!N:N,"Não",'Extração'!J:J,A222)/B222)</f>
        <v/>
      </c>
      <c r="H222" s="12" t="str">
        <f>IF(B222=0,"",COUNTIFS('Extração'!O:O,"Não",'Extração'!J:J,A222)/B222)</f>
        <v/>
      </c>
      <c r="I222" s="12" t="str">
        <f>IF(B222=0,"",COUNTIFS('Extração'!P:P,"Igual",'Extração'!J:J,A222)/B222)</f>
        <v/>
      </c>
    </row>
    <row r="223">
      <c r="B223" s="12">
        <f>COUNTIF('Extração'!J:J,A223)</f>
        <v>0</v>
      </c>
      <c r="C223" s="12" t="str">
        <f>IF(B223=0,"",COUNTIFS('Extração'!N:N,"Sim",'Extração'!J:J,A223)/B223)</f>
        <v/>
      </c>
      <c r="D223" s="12" t="str">
        <f>IF(B223=0,"",COUNTIFS('Extração'!O:O,"Sim",'Extração'!J:J,A223)/B223)</f>
        <v/>
      </c>
      <c r="E223" s="12" t="str">
        <f>IF(B223=0,"",COUNTIFS('Extração'!N:N,"Parcialmente",'Extração'!J:J,A223)/B223)</f>
        <v/>
      </c>
      <c r="F223" s="12" t="str">
        <f>IF(B223=0,"",COUNTIFS('Extração'!O:O,"Parcialmente",'Extração'!J:J,A223)/B223)</f>
        <v/>
      </c>
      <c r="G223" s="12" t="str">
        <f>IF(B223=0,"",COUNTIFS('Extração'!N:N,"Não",'Extração'!J:J,A223)/B223)</f>
        <v/>
      </c>
      <c r="H223" s="12" t="str">
        <f>IF(B223=0,"",COUNTIFS('Extração'!O:O,"Não",'Extração'!J:J,A223)/B223)</f>
        <v/>
      </c>
      <c r="I223" s="12" t="str">
        <f>IF(B223=0,"",COUNTIFS('Extração'!P:P,"Igual",'Extração'!J:J,A223)/B223)</f>
        <v/>
      </c>
    </row>
    <row r="224">
      <c r="B224" s="12">
        <f>COUNTIF('Extração'!J:J,A224)</f>
        <v>0</v>
      </c>
      <c r="C224" s="12" t="str">
        <f>IF(B224=0,"",COUNTIFS('Extração'!N:N,"Sim",'Extração'!J:J,A224)/B224)</f>
        <v/>
      </c>
      <c r="D224" s="12" t="str">
        <f>IF(B224=0,"",COUNTIFS('Extração'!O:O,"Sim",'Extração'!J:J,A224)/B224)</f>
        <v/>
      </c>
      <c r="E224" s="12" t="str">
        <f>IF(B224=0,"",COUNTIFS('Extração'!N:N,"Parcialmente",'Extração'!J:J,A224)/B224)</f>
        <v/>
      </c>
      <c r="F224" s="12" t="str">
        <f>IF(B224=0,"",COUNTIFS('Extração'!O:O,"Parcialmente",'Extração'!J:J,A224)/B224)</f>
        <v/>
      </c>
      <c r="G224" s="12" t="str">
        <f>IF(B224=0,"",COUNTIFS('Extração'!N:N,"Não",'Extração'!J:J,A224)/B224)</f>
        <v/>
      </c>
      <c r="H224" s="12" t="str">
        <f>IF(B224=0,"",COUNTIFS('Extração'!O:O,"Não",'Extração'!J:J,A224)/B224)</f>
        <v/>
      </c>
      <c r="I224" s="12" t="str">
        <f>IF(B224=0,"",COUNTIFS('Extração'!P:P,"Igual",'Extração'!J:J,A224)/B224)</f>
        <v/>
      </c>
    </row>
    <row r="225">
      <c r="B225" s="12">
        <f>COUNTIF('Extração'!J:J,A225)</f>
        <v>0</v>
      </c>
      <c r="C225" s="12" t="str">
        <f>IF(B225=0,"",COUNTIFS('Extração'!N:N,"Sim",'Extração'!J:J,A225)/B225)</f>
        <v/>
      </c>
      <c r="D225" s="12" t="str">
        <f>IF(B225=0,"",COUNTIFS('Extração'!O:O,"Sim",'Extração'!J:J,A225)/B225)</f>
        <v/>
      </c>
      <c r="E225" s="12" t="str">
        <f>IF(B225=0,"",COUNTIFS('Extração'!N:N,"Parcialmente",'Extração'!J:J,A225)/B225)</f>
        <v/>
      </c>
      <c r="F225" s="12" t="str">
        <f>IF(B225=0,"",COUNTIFS('Extração'!O:O,"Parcialmente",'Extração'!J:J,A225)/B225)</f>
        <v/>
      </c>
      <c r="G225" s="12" t="str">
        <f>IF(B225=0,"",COUNTIFS('Extração'!N:N,"Não",'Extração'!J:J,A225)/B225)</f>
        <v/>
      </c>
      <c r="H225" s="12" t="str">
        <f>IF(B225=0,"",COUNTIFS('Extração'!O:O,"Não",'Extração'!J:J,A225)/B225)</f>
        <v/>
      </c>
      <c r="I225" s="12" t="str">
        <f>IF(B225=0,"",COUNTIFS('Extração'!P:P,"Igual",'Extração'!J:J,A225)/B225)</f>
        <v/>
      </c>
    </row>
    <row r="226">
      <c r="B226" s="12">
        <f>COUNTIF('Extração'!J:J,A226)</f>
        <v>0</v>
      </c>
      <c r="C226" s="12" t="str">
        <f>IF(B226=0,"",COUNTIFS('Extração'!N:N,"Sim",'Extração'!J:J,A226)/B226)</f>
        <v/>
      </c>
      <c r="D226" s="12" t="str">
        <f>IF(B226=0,"",COUNTIFS('Extração'!O:O,"Sim",'Extração'!J:J,A226)/B226)</f>
        <v/>
      </c>
      <c r="E226" s="12" t="str">
        <f>IF(B226=0,"",COUNTIFS('Extração'!N:N,"Parcialmente",'Extração'!J:J,A226)/B226)</f>
        <v/>
      </c>
      <c r="F226" s="12" t="str">
        <f>IF(B226=0,"",COUNTIFS('Extração'!O:O,"Parcialmente",'Extração'!J:J,A226)/B226)</f>
        <v/>
      </c>
      <c r="G226" s="12" t="str">
        <f>IF(B226=0,"",COUNTIFS('Extração'!N:N,"Não",'Extração'!J:J,A226)/B226)</f>
        <v/>
      </c>
      <c r="H226" s="12" t="str">
        <f>IF(B226=0,"",COUNTIFS('Extração'!O:O,"Não",'Extração'!J:J,A226)/B226)</f>
        <v/>
      </c>
      <c r="I226" s="12" t="str">
        <f>IF(B226=0,"",COUNTIFS('Extração'!P:P,"Igual",'Extração'!J:J,A226)/B226)</f>
        <v/>
      </c>
    </row>
    <row r="227">
      <c r="B227" s="12">
        <f>COUNTIF('Extração'!J:J,A227)</f>
        <v>0</v>
      </c>
      <c r="C227" s="12" t="str">
        <f>IF(B227=0,"",COUNTIFS('Extração'!N:N,"Sim",'Extração'!J:J,A227)/B227)</f>
        <v/>
      </c>
      <c r="D227" s="12" t="str">
        <f>IF(B227=0,"",COUNTIFS('Extração'!O:O,"Sim",'Extração'!J:J,A227)/B227)</f>
        <v/>
      </c>
      <c r="E227" s="12" t="str">
        <f>IF(B227=0,"",COUNTIFS('Extração'!N:N,"Parcialmente",'Extração'!J:J,A227)/B227)</f>
        <v/>
      </c>
      <c r="F227" s="12" t="str">
        <f>IF(B227=0,"",COUNTIFS('Extração'!O:O,"Parcialmente",'Extração'!J:J,A227)/B227)</f>
        <v/>
      </c>
      <c r="G227" s="12" t="str">
        <f>IF(B227=0,"",COUNTIFS('Extração'!N:N,"Não",'Extração'!J:J,A227)/B227)</f>
        <v/>
      </c>
      <c r="H227" s="12" t="str">
        <f>IF(B227=0,"",COUNTIFS('Extração'!O:O,"Não",'Extração'!J:J,A227)/B227)</f>
        <v/>
      </c>
      <c r="I227" s="12" t="str">
        <f>IF(B227=0,"",COUNTIFS('Extração'!P:P,"Igual",'Extração'!J:J,A227)/B227)</f>
        <v/>
      </c>
    </row>
    <row r="228">
      <c r="B228" s="12">
        <f>COUNTIF('Extração'!J:J,A228)</f>
        <v>0</v>
      </c>
      <c r="C228" s="12" t="str">
        <f>IF(B228=0,"",COUNTIFS('Extração'!N:N,"Sim",'Extração'!J:J,A228)/B228)</f>
        <v/>
      </c>
      <c r="D228" s="12" t="str">
        <f>IF(B228=0,"",COUNTIFS('Extração'!O:O,"Sim",'Extração'!J:J,A228)/B228)</f>
        <v/>
      </c>
      <c r="E228" s="12" t="str">
        <f>IF(B228=0,"",COUNTIFS('Extração'!N:N,"Parcialmente",'Extração'!J:J,A228)/B228)</f>
        <v/>
      </c>
      <c r="F228" s="12" t="str">
        <f>IF(B228=0,"",COUNTIFS('Extração'!O:O,"Parcialmente",'Extração'!J:J,A228)/B228)</f>
        <v/>
      </c>
      <c r="G228" s="12" t="str">
        <f>IF(B228=0,"",COUNTIFS('Extração'!N:N,"Não",'Extração'!J:J,A228)/B228)</f>
        <v/>
      </c>
      <c r="H228" s="12" t="str">
        <f>IF(B228=0,"",COUNTIFS('Extração'!O:O,"Não",'Extração'!J:J,A228)/B228)</f>
        <v/>
      </c>
      <c r="I228" s="12" t="str">
        <f>IF(B228=0,"",COUNTIFS('Extração'!P:P,"Igual",'Extração'!J:J,A228)/B228)</f>
        <v/>
      </c>
    </row>
    <row r="229">
      <c r="B229" s="12">
        <f>COUNTIF('Extração'!J:J,A229)</f>
        <v>0</v>
      </c>
      <c r="C229" s="12" t="str">
        <f>IF(B229=0,"",COUNTIFS('Extração'!N:N,"Sim",'Extração'!J:J,A229)/B229)</f>
        <v/>
      </c>
      <c r="D229" s="12" t="str">
        <f>IF(B229=0,"",COUNTIFS('Extração'!O:O,"Sim",'Extração'!J:J,A229)/B229)</f>
        <v/>
      </c>
      <c r="E229" s="12" t="str">
        <f>IF(B229=0,"",COUNTIFS('Extração'!N:N,"Parcialmente",'Extração'!J:J,A229)/B229)</f>
        <v/>
      </c>
      <c r="F229" s="12" t="str">
        <f>IF(B229=0,"",COUNTIFS('Extração'!O:O,"Parcialmente",'Extração'!J:J,A229)/B229)</f>
        <v/>
      </c>
      <c r="G229" s="12" t="str">
        <f>IF(B229=0,"",COUNTIFS('Extração'!N:N,"Não",'Extração'!J:J,A229)/B229)</f>
        <v/>
      </c>
      <c r="H229" s="12" t="str">
        <f>IF(B229=0,"",COUNTIFS('Extração'!O:O,"Não",'Extração'!J:J,A229)/B229)</f>
        <v/>
      </c>
      <c r="I229" s="12" t="str">
        <f>IF(B229=0,"",COUNTIFS('Extração'!P:P,"Igual",'Extração'!J:J,A229)/B229)</f>
        <v/>
      </c>
    </row>
    <row r="230">
      <c r="B230" s="12">
        <f>COUNTIF('Extração'!J:J,A230)</f>
        <v>0</v>
      </c>
      <c r="C230" s="12" t="str">
        <f>IF(B230=0,"",COUNTIFS('Extração'!N:N,"Sim",'Extração'!J:J,A230)/B230)</f>
        <v/>
      </c>
      <c r="D230" s="12" t="str">
        <f>IF(B230=0,"",COUNTIFS('Extração'!O:O,"Sim",'Extração'!J:J,A230)/B230)</f>
        <v/>
      </c>
      <c r="E230" s="12" t="str">
        <f>IF(B230=0,"",COUNTIFS('Extração'!N:N,"Parcialmente",'Extração'!J:J,A230)/B230)</f>
        <v/>
      </c>
      <c r="F230" s="12" t="str">
        <f>IF(B230=0,"",COUNTIFS('Extração'!O:O,"Parcialmente",'Extração'!J:J,A230)/B230)</f>
        <v/>
      </c>
      <c r="G230" s="12" t="str">
        <f>IF(B230=0,"",COUNTIFS('Extração'!N:N,"Não",'Extração'!J:J,A230)/B230)</f>
        <v/>
      </c>
      <c r="H230" s="12" t="str">
        <f>IF(B230=0,"",COUNTIFS('Extração'!O:O,"Não",'Extração'!J:J,A230)/B230)</f>
        <v/>
      </c>
      <c r="I230" s="12" t="str">
        <f>IF(B230=0,"",COUNTIFS('Extração'!P:P,"Igual",'Extração'!J:J,A230)/B230)</f>
        <v/>
      </c>
    </row>
    <row r="231">
      <c r="B231" s="12">
        <f>COUNTIF('Extração'!J:J,A231)</f>
        <v>0</v>
      </c>
      <c r="C231" s="12" t="str">
        <f>IF(B231=0,"",COUNTIFS('Extração'!N:N,"Sim",'Extração'!J:J,A231)/B231)</f>
        <v/>
      </c>
      <c r="D231" s="12" t="str">
        <f>IF(B231=0,"",COUNTIFS('Extração'!O:O,"Sim",'Extração'!J:J,A231)/B231)</f>
        <v/>
      </c>
      <c r="E231" s="12" t="str">
        <f>IF(B231=0,"",COUNTIFS('Extração'!N:N,"Parcialmente",'Extração'!J:J,A231)/B231)</f>
        <v/>
      </c>
      <c r="F231" s="12" t="str">
        <f>IF(B231=0,"",COUNTIFS('Extração'!O:O,"Parcialmente",'Extração'!J:J,A231)/B231)</f>
        <v/>
      </c>
      <c r="G231" s="12" t="str">
        <f>IF(B231=0,"",COUNTIFS('Extração'!N:N,"Não",'Extração'!J:J,A231)/B231)</f>
        <v/>
      </c>
      <c r="H231" s="12" t="str">
        <f>IF(B231=0,"",COUNTIFS('Extração'!O:O,"Não",'Extração'!J:J,A231)/B231)</f>
        <v/>
      </c>
      <c r="I231" s="12" t="str">
        <f>IF(B231=0,"",COUNTIFS('Extração'!P:P,"Igual",'Extração'!J:J,A231)/B231)</f>
        <v/>
      </c>
    </row>
    <row r="232">
      <c r="B232" s="12">
        <f>COUNTIF('Extração'!J:J,A232)</f>
        <v>0</v>
      </c>
      <c r="C232" s="12" t="str">
        <f>IF(B232=0,"",COUNTIFS('Extração'!N:N,"Sim",'Extração'!J:J,A232)/B232)</f>
        <v/>
      </c>
      <c r="D232" s="12" t="str">
        <f>IF(B232=0,"",COUNTIFS('Extração'!O:O,"Sim",'Extração'!J:J,A232)/B232)</f>
        <v/>
      </c>
      <c r="E232" s="12" t="str">
        <f>IF(B232=0,"",COUNTIFS('Extração'!N:N,"Parcialmente",'Extração'!J:J,A232)/B232)</f>
        <v/>
      </c>
      <c r="F232" s="12" t="str">
        <f>IF(B232=0,"",COUNTIFS('Extração'!O:O,"Parcialmente",'Extração'!J:J,A232)/B232)</f>
        <v/>
      </c>
      <c r="G232" s="12" t="str">
        <f>IF(B232=0,"",COUNTIFS('Extração'!N:N,"Não",'Extração'!J:J,A232)/B232)</f>
        <v/>
      </c>
      <c r="H232" s="12" t="str">
        <f>IF(B232=0,"",COUNTIFS('Extração'!O:O,"Não",'Extração'!J:J,A232)/B232)</f>
        <v/>
      </c>
      <c r="I232" s="12" t="str">
        <f>IF(B232=0,"",COUNTIFS('Extração'!P:P,"Igual",'Extração'!J:J,A232)/B232)</f>
        <v/>
      </c>
    </row>
    <row r="233">
      <c r="B233" s="12">
        <f>COUNTIF('Extração'!J:J,A233)</f>
        <v>0</v>
      </c>
      <c r="C233" s="12" t="str">
        <f>IF(B233=0,"",COUNTIFS('Extração'!N:N,"Sim",'Extração'!J:J,A233)/B233)</f>
        <v/>
      </c>
      <c r="D233" s="12" t="str">
        <f>IF(B233=0,"",COUNTIFS('Extração'!O:O,"Sim",'Extração'!J:J,A233)/B233)</f>
        <v/>
      </c>
      <c r="E233" s="12" t="str">
        <f>IF(B233=0,"",COUNTIFS('Extração'!N:N,"Parcialmente",'Extração'!J:J,A233)/B233)</f>
        <v/>
      </c>
      <c r="F233" s="12" t="str">
        <f>IF(B233=0,"",COUNTIFS('Extração'!O:O,"Parcialmente",'Extração'!J:J,A233)/B233)</f>
        <v/>
      </c>
      <c r="G233" s="12" t="str">
        <f>IF(B233=0,"",COUNTIFS('Extração'!N:N,"Não",'Extração'!J:J,A233)/B233)</f>
        <v/>
      </c>
      <c r="H233" s="12" t="str">
        <f>IF(B233=0,"",COUNTIFS('Extração'!O:O,"Não",'Extração'!J:J,A233)/B233)</f>
        <v/>
      </c>
      <c r="I233" s="12" t="str">
        <f>IF(B233=0,"",COUNTIFS('Extração'!P:P,"Igual",'Extração'!J:J,A233)/B233)</f>
        <v/>
      </c>
    </row>
    <row r="234">
      <c r="B234" s="12">
        <f>COUNTIF('Extração'!J:J,A234)</f>
        <v>0</v>
      </c>
      <c r="C234" s="12" t="str">
        <f>IF(B234=0,"",COUNTIFS('Extração'!N:N,"Sim",'Extração'!J:J,A234)/B234)</f>
        <v/>
      </c>
      <c r="D234" s="12" t="str">
        <f>IF(B234=0,"",COUNTIFS('Extração'!O:O,"Sim",'Extração'!J:J,A234)/B234)</f>
        <v/>
      </c>
      <c r="E234" s="12" t="str">
        <f>IF(B234=0,"",COUNTIFS('Extração'!N:N,"Parcialmente",'Extração'!J:J,A234)/B234)</f>
        <v/>
      </c>
      <c r="F234" s="12" t="str">
        <f>IF(B234=0,"",COUNTIFS('Extração'!O:O,"Parcialmente",'Extração'!J:J,A234)/B234)</f>
        <v/>
      </c>
      <c r="G234" s="12" t="str">
        <f>IF(B234=0,"",COUNTIFS('Extração'!N:N,"Não",'Extração'!J:J,A234)/B234)</f>
        <v/>
      </c>
      <c r="H234" s="12" t="str">
        <f>IF(B234=0,"",COUNTIFS('Extração'!O:O,"Não",'Extração'!J:J,A234)/B234)</f>
        <v/>
      </c>
      <c r="I234" s="12" t="str">
        <f>IF(B234=0,"",COUNTIFS('Extração'!P:P,"Igual",'Extração'!J:J,A234)/B234)</f>
        <v/>
      </c>
    </row>
    <row r="235">
      <c r="B235" s="12">
        <f>COUNTIF('Extração'!J:J,A235)</f>
        <v>0</v>
      </c>
      <c r="C235" s="12" t="str">
        <f>IF(B235=0,"",COUNTIFS('Extração'!N:N,"Sim",'Extração'!J:J,A235)/B235)</f>
        <v/>
      </c>
      <c r="D235" s="12" t="str">
        <f>IF(B235=0,"",COUNTIFS('Extração'!O:O,"Sim",'Extração'!J:J,A235)/B235)</f>
        <v/>
      </c>
      <c r="E235" s="12" t="str">
        <f>IF(B235=0,"",COUNTIFS('Extração'!N:N,"Parcialmente",'Extração'!J:J,A235)/B235)</f>
        <v/>
      </c>
      <c r="F235" s="12" t="str">
        <f>IF(B235=0,"",COUNTIFS('Extração'!O:O,"Parcialmente",'Extração'!J:J,A235)/B235)</f>
        <v/>
      </c>
      <c r="G235" s="12" t="str">
        <f>IF(B235=0,"",COUNTIFS('Extração'!N:N,"Não",'Extração'!J:J,A235)/B235)</f>
        <v/>
      </c>
      <c r="H235" s="12" t="str">
        <f>IF(B235=0,"",COUNTIFS('Extração'!O:O,"Não",'Extração'!J:J,A235)/B235)</f>
        <v/>
      </c>
      <c r="I235" s="12" t="str">
        <f>IF(B235=0,"",COUNTIFS('Extração'!P:P,"Igual",'Extração'!J:J,A235)/B235)</f>
        <v/>
      </c>
    </row>
    <row r="236">
      <c r="B236" s="12">
        <f>COUNTIF('Extração'!J:J,A236)</f>
        <v>0</v>
      </c>
      <c r="C236" s="12" t="str">
        <f>IF(B236=0,"",COUNTIFS('Extração'!N:N,"Sim",'Extração'!J:J,A236)/B236)</f>
        <v/>
      </c>
      <c r="D236" s="12" t="str">
        <f>IF(B236=0,"",COUNTIFS('Extração'!O:O,"Sim",'Extração'!J:J,A236)/B236)</f>
        <v/>
      </c>
      <c r="E236" s="12" t="str">
        <f>IF(B236=0,"",COUNTIFS('Extração'!N:N,"Parcialmente",'Extração'!J:J,A236)/B236)</f>
        <v/>
      </c>
      <c r="F236" s="12" t="str">
        <f>IF(B236=0,"",COUNTIFS('Extração'!O:O,"Parcialmente",'Extração'!J:J,A236)/B236)</f>
        <v/>
      </c>
      <c r="G236" s="12" t="str">
        <f>IF(B236=0,"",COUNTIFS('Extração'!N:N,"Não",'Extração'!J:J,A236)/B236)</f>
        <v/>
      </c>
      <c r="H236" s="12" t="str">
        <f>IF(B236=0,"",COUNTIFS('Extração'!O:O,"Não",'Extração'!J:J,A236)/B236)</f>
        <v/>
      </c>
      <c r="I236" s="12" t="str">
        <f>IF(B236=0,"",COUNTIFS('Extração'!P:P,"Igual",'Extração'!J:J,A236)/B236)</f>
        <v/>
      </c>
    </row>
    <row r="237">
      <c r="B237" s="12">
        <f>COUNTIF('Extração'!J:J,A237)</f>
        <v>0</v>
      </c>
      <c r="C237" s="12" t="str">
        <f>IF(B237=0,"",COUNTIFS('Extração'!N:N,"Sim",'Extração'!J:J,A237)/B237)</f>
        <v/>
      </c>
      <c r="D237" s="12" t="str">
        <f>IF(B237=0,"",COUNTIFS('Extração'!O:O,"Sim",'Extração'!J:J,A237)/B237)</f>
        <v/>
      </c>
      <c r="E237" s="12" t="str">
        <f>IF(B237=0,"",COUNTIFS('Extração'!N:N,"Parcialmente",'Extração'!J:J,A237)/B237)</f>
        <v/>
      </c>
      <c r="F237" s="12" t="str">
        <f>IF(B237=0,"",COUNTIFS('Extração'!O:O,"Parcialmente",'Extração'!J:J,A237)/B237)</f>
        <v/>
      </c>
      <c r="G237" s="12" t="str">
        <f>IF(B237=0,"",COUNTIFS('Extração'!N:N,"Não",'Extração'!J:J,A237)/B237)</f>
        <v/>
      </c>
      <c r="H237" s="12" t="str">
        <f>IF(B237=0,"",COUNTIFS('Extração'!O:O,"Não",'Extração'!J:J,A237)/B237)</f>
        <v/>
      </c>
      <c r="I237" s="12" t="str">
        <f>IF(B237=0,"",COUNTIFS('Extração'!P:P,"Igual",'Extração'!J:J,A237)/B237)</f>
        <v/>
      </c>
    </row>
    <row r="238">
      <c r="B238" s="12">
        <f>COUNTIF('Extração'!J:J,A238)</f>
        <v>0</v>
      </c>
      <c r="C238" s="12" t="str">
        <f>IF(B238=0,"",COUNTIFS('Extração'!N:N,"Sim",'Extração'!J:J,A238)/B238)</f>
        <v/>
      </c>
      <c r="D238" s="12" t="str">
        <f>IF(B238=0,"",COUNTIFS('Extração'!O:O,"Sim",'Extração'!J:J,A238)/B238)</f>
        <v/>
      </c>
      <c r="E238" s="12" t="str">
        <f>IF(B238=0,"",COUNTIFS('Extração'!N:N,"Parcialmente",'Extração'!J:J,A238)/B238)</f>
        <v/>
      </c>
      <c r="F238" s="12" t="str">
        <f>IF(B238=0,"",COUNTIFS('Extração'!O:O,"Parcialmente",'Extração'!J:J,A238)/B238)</f>
        <v/>
      </c>
      <c r="G238" s="12" t="str">
        <f>IF(B238=0,"",COUNTIFS('Extração'!N:N,"Não",'Extração'!J:J,A238)/B238)</f>
        <v/>
      </c>
      <c r="H238" s="12" t="str">
        <f>IF(B238=0,"",COUNTIFS('Extração'!O:O,"Não",'Extração'!J:J,A238)/B238)</f>
        <v/>
      </c>
      <c r="I238" s="12" t="str">
        <f>IF(B238=0,"",COUNTIFS('Extração'!P:P,"Igual",'Extração'!J:J,A238)/B238)</f>
        <v/>
      </c>
    </row>
    <row r="239">
      <c r="B239" s="12">
        <f>COUNTIF('Extração'!J:J,A239)</f>
        <v>0</v>
      </c>
      <c r="C239" s="12" t="str">
        <f>IF(B239=0,"",COUNTIFS('Extração'!N:N,"Sim",'Extração'!J:J,A239)/B239)</f>
        <v/>
      </c>
      <c r="D239" s="12" t="str">
        <f>IF(B239=0,"",COUNTIFS('Extração'!O:O,"Sim",'Extração'!J:J,A239)/B239)</f>
        <v/>
      </c>
      <c r="E239" s="12" t="str">
        <f>IF(B239=0,"",COUNTIFS('Extração'!N:N,"Parcialmente",'Extração'!J:J,A239)/B239)</f>
        <v/>
      </c>
      <c r="F239" s="12" t="str">
        <f>IF(B239=0,"",COUNTIFS('Extração'!O:O,"Parcialmente",'Extração'!J:J,A239)/B239)</f>
        <v/>
      </c>
      <c r="G239" s="12" t="str">
        <f>IF(B239=0,"",COUNTIFS('Extração'!N:N,"Não",'Extração'!J:J,A239)/B239)</f>
        <v/>
      </c>
      <c r="H239" s="12" t="str">
        <f>IF(B239=0,"",COUNTIFS('Extração'!O:O,"Não",'Extração'!J:J,A239)/B239)</f>
        <v/>
      </c>
      <c r="I239" s="12" t="str">
        <f>IF(B239=0,"",COUNTIFS('Extração'!P:P,"Igual",'Extração'!J:J,A239)/B239)</f>
        <v/>
      </c>
    </row>
    <row r="240">
      <c r="B240" s="12">
        <f>COUNTIF('Extração'!J:J,A240)</f>
        <v>0</v>
      </c>
      <c r="C240" s="12" t="str">
        <f>IF(B240=0,"",COUNTIFS('Extração'!N:N,"Sim",'Extração'!J:J,A240)/B240)</f>
        <v/>
      </c>
      <c r="D240" s="12" t="str">
        <f>IF(B240=0,"",COUNTIFS('Extração'!O:O,"Sim",'Extração'!J:J,A240)/B240)</f>
        <v/>
      </c>
      <c r="E240" s="12" t="str">
        <f>IF(B240=0,"",COUNTIFS('Extração'!N:N,"Parcialmente",'Extração'!J:J,A240)/B240)</f>
        <v/>
      </c>
      <c r="F240" s="12" t="str">
        <f>IF(B240=0,"",COUNTIFS('Extração'!O:O,"Parcialmente",'Extração'!J:J,A240)/B240)</f>
        <v/>
      </c>
      <c r="G240" s="12" t="str">
        <f>IF(B240=0,"",COUNTIFS('Extração'!N:N,"Não",'Extração'!J:J,A240)/B240)</f>
        <v/>
      </c>
      <c r="H240" s="12" t="str">
        <f>IF(B240=0,"",COUNTIFS('Extração'!O:O,"Não",'Extração'!J:J,A240)/B240)</f>
        <v/>
      </c>
      <c r="I240" s="12" t="str">
        <f>IF(B240=0,"",COUNTIFS('Extração'!P:P,"Igual",'Extração'!J:J,A240)/B240)</f>
        <v/>
      </c>
    </row>
    <row r="241">
      <c r="B241" s="12">
        <f>COUNTIF('Extração'!J:J,A241)</f>
        <v>0</v>
      </c>
      <c r="C241" s="12" t="str">
        <f>IF(B241=0,"",COUNTIFS('Extração'!N:N,"Sim",'Extração'!J:J,A241)/B241)</f>
        <v/>
      </c>
      <c r="D241" s="12" t="str">
        <f>IF(B241=0,"",COUNTIFS('Extração'!O:O,"Sim",'Extração'!J:J,A241)/B241)</f>
        <v/>
      </c>
      <c r="E241" s="12" t="str">
        <f>IF(B241=0,"",COUNTIFS('Extração'!N:N,"Parcialmente",'Extração'!J:J,A241)/B241)</f>
        <v/>
      </c>
      <c r="F241" s="12" t="str">
        <f>IF(B241=0,"",COUNTIFS('Extração'!O:O,"Parcialmente",'Extração'!J:J,A241)/B241)</f>
        <v/>
      </c>
      <c r="G241" s="12" t="str">
        <f>IF(B241=0,"",COUNTIFS('Extração'!N:N,"Não",'Extração'!J:J,A241)/B241)</f>
        <v/>
      </c>
      <c r="H241" s="12" t="str">
        <f>IF(B241=0,"",COUNTIFS('Extração'!O:O,"Não",'Extração'!J:J,A241)/B241)</f>
        <v/>
      </c>
      <c r="I241" s="12" t="str">
        <f>IF(B241=0,"",COUNTIFS('Extração'!P:P,"Igual",'Extração'!J:J,A241)/B241)</f>
        <v/>
      </c>
    </row>
    <row r="242">
      <c r="B242" s="12">
        <f>COUNTIF('Extração'!J:J,A242)</f>
        <v>0</v>
      </c>
      <c r="C242" s="12" t="str">
        <f>IF(B242=0,"",COUNTIFS('Extração'!N:N,"Sim",'Extração'!J:J,A242)/B242)</f>
        <v/>
      </c>
      <c r="D242" s="12" t="str">
        <f>IF(B242=0,"",COUNTIFS('Extração'!O:O,"Sim",'Extração'!J:J,A242)/B242)</f>
        <v/>
      </c>
      <c r="E242" s="12" t="str">
        <f>IF(B242=0,"",COUNTIFS('Extração'!N:N,"Parcialmente",'Extração'!J:J,A242)/B242)</f>
        <v/>
      </c>
      <c r="F242" s="12" t="str">
        <f>IF(B242=0,"",COUNTIFS('Extração'!O:O,"Parcialmente",'Extração'!J:J,A242)/B242)</f>
        <v/>
      </c>
      <c r="G242" s="12" t="str">
        <f>IF(B242=0,"",COUNTIFS('Extração'!N:N,"Não",'Extração'!J:J,A242)/B242)</f>
        <v/>
      </c>
      <c r="H242" s="12" t="str">
        <f>IF(B242=0,"",COUNTIFS('Extração'!O:O,"Não",'Extração'!J:J,A242)/B242)</f>
        <v/>
      </c>
      <c r="I242" s="12" t="str">
        <f>IF(B242=0,"",COUNTIFS('Extração'!P:P,"Igual",'Extração'!J:J,A242)/B242)</f>
        <v/>
      </c>
    </row>
    <row r="243">
      <c r="B243" s="12">
        <f>COUNTIF('Extração'!J:J,A243)</f>
        <v>0</v>
      </c>
      <c r="C243" s="12" t="str">
        <f>IF(B243=0,"",COUNTIFS('Extração'!N:N,"Sim",'Extração'!J:J,A243)/B243)</f>
        <v/>
      </c>
      <c r="D243" s="12" t="str">
        <f>IF(B243=0,"",COUNTIFS('Extração'!O:O,"Sim",'Extração'!J:J,A243)/B243)</f>
        <v/>
      </c>
      <c r="E243" s="12" t="str">
        <f>IF(B243=0,"",COUNTIFS('Extração'!N:N,"Parcialmente",'Extração'!J:J,A243)/B243)</f>
        <v/>
      </c>
      <c r="F243" s="12" t="str">
        <f>IF(B243=0,"",COUNTIFS('Extração'!O:O,"Parcialmente",'Extração'!J:J,A243)/B243)</f>
        <v/>
      </c>
      <c r="G243" s="12" t="str">
        <f>IF(B243=0,"",COUNTIFS('Extração'!N:N,"Não",'Extração'!J:J,A243)/B243)</f>
        <v/>
      </c>
      <c r="H243" s="12" t="str">
        <f>IF(B243=0,"",COUNTIFS('Extração'!O:O,"Não",'Extração'!J:J,A243)/B243)</f>
        <v/>
      </c>
      <c r="I243" s="12" t="str">
        <f>IF(B243=0,"",COUNTIFS('Extração'!P:P,"Igual",'Extração'!J:J,A243)/B243)</f>
        <v/>
      </c>
    </row>
    <row r="244">
      <c r="B244" s="12">
        <f>COUNTIF('Extração'!J:J,A244)</f>
        <v>0</v>
      </c>
      <c r="C244" s="12" t="str">
        <f>IF(B244=0,"",COUNTIFS('Extração'!N:N,"Sim",'Extração'!J:J,A244)/B244)</f>
        <v/>
      </c>
      <c r="D244" s="12" t="str">
        <f>IF(B244=0,"",COUNTIFS('Extração'!O:O,"Sim",'Extração'!J:J,A244)/B244)</f>
        <v/>
      </c>
      <c r="E244" s="12" t="str">
        <f>IF(B244=0,"",COUNTIFS('Extração'!N:N,"Parcialmente",'Extração'!J:J,A244)/B244)</f>
        <v/>
      </c>
      <c r="F244" s="12" t="str">
        <f>IF(B244=0,"",COUNTIFS('Extração'!O:O,"Parcialmente",'Extração'!J:J,A244)/B244)</f>
        <v/>
      </c>
      <c r="G244" s="12" t="str">
        <f>IF(B244=0,"",COUNTIFS('Extração'!N:N,"Não",'Extração'!J:J,A244)/B244)</f>
        <v/>
      </c>
      <c r="H244" s="12" t="str">
        <f>IF(B244=0,"",COUNTIFS('Extração'!O:O,"Não",'Extração'!J:J,A244)/B244)</f>
        <v/>
      </c>
      <c r="I244" s="12" t="str">
        <f>IF(B244=0,"",COUNTIFS('Extração'!P:P,"Igual",'Extração'!J:J,A244)/B244)</f>
        <v/>
      </c>
    </row>
    <row r="245">
      <c r="B245" s="12">
        <f>COUNTIF('Extração'!J:J,A245)</f>
        <v>0</v>
      </c>
      <c r="C245" s="12" t="str">
        <f>IF(B245=0,"",COUNTIFS('Extração'!N:N,"Sim",'Extração'!J:J,A245)/B245)</f>
        <v/>
      </c>
      <c r="D245" s="12" t="str">
        <f>IF(B245=0,"",COUNTIFS('Extração'!O:O,"Sim",'Extração'!J:J,A245)/B245)</f>
        <v/>
      </c>
      <c r="E245" s="12" t="str">
        <f>IF(B245=0,"",COUNTIFS('Extração'!N:N,"Parcialmente",'Extração'!J:J,A245)/B245)</f>
        <v/>
      </c>
      <c r="F245" s="12" t="str">
        <f>IF(B245=0,"",COUNTIFS('Extração'!O:O,"Parcialmente",'Extração'!J:J,A245)/B245)</f>
        <v/>
      </c>
      <c r="G245" s="12" t="str">
        <f>IF(B245=0,"",COUNTIFS('Extração'!N:N,"Não",'Extração'!J:J,A245)/B245)</f>
        <v/>
      </c>
      <c r="H245" s="12" t="str">
        <f>IF(B245=0,"",COUNTIFS('Extração'!O:O,"Não",'Extração'!J:J,A245)/B245)</f>
        <v/>
      </c>
      <c r="I245" s="12" t="str">
        <f>IF(B245=0,"",COUNTIFS('Extração'!P:P,"Igual",'Extração'!J:J,A245)/B245)</f>
        <v/>
      </c>
    </row>
    <row r="246">
      <c r="B246" s="12">
        <f>COUNTIF('Extração'!J:J,A246)</f>
        <v>0</v>
      </c>
      <c r="C246" s="12" t="str">
        <f>IF(B246=0,"",COUNTIFS('Extração'!N:N,"Sim",'Extração'!J:J,A246)/B246)</f>
        <v/>
      </c>
      <c r="D246" s="12" t="str">
        <f>IF(B246=0,"",COUNTIFS('Extração'!O:O,"Sim",'Extração'!J:J,A246)/B246)</f>
        <v/>
      </c>
      <c r="E246" s="12" t="str">
        <f>IF(B246=0,"",COUNTIFS('Extração'!N:N,"Parcialmente",'Extração'!J:J,A246)/B246)</f>
        <v/>
      </c>
      <c r="F246" s="12" t="str">
        <f>IF(B246=0,"",COUNTIFS('Extração'!O:O,"Parcialmente",'Extração'!J:J,A246)/B246)</f>
        <v/>
      </c>
      <c r="G246" s="12" t="str">
        <f>IF(B246=0,"",COUNTIFS('Extração'!N:N,"Não",'Extração'!J:J,A246)/B246)</f>
        <v/>
      </c>
      <c r="H246" s="12" t="str">
        <f>IF(B246=0,"",COUNTIFS('Extração'!O:O,"Não",'Extração'!J:J,A246)/B246)</f>
        <v/>
      </c>
      <c r="I246" s="12" t="str">
        <f>IF(B246=0,"",COUNTIFS('Extração'!P:P,"Igual",'Extração'!J:J,A246)/B246)</f>
        <v/>
      </c>
    </row>
    <row r="247">
      <c r="B247" s="12">
        <f>COUNTIF('Extração'!J:J,A247)</f>
        <v>0</v>
      </c>
      <c r="C247" s="12" t="str">
        <f>IF(B247=0,"",COUNTIFS('Extração'!N:N,"Sim",'Extração'!J:J,A247)/B247)</f>
        <v/>
      </c>
      <c r="D247" s="12" t="str">
        <f>IF(B247=0,"",COUNTIFS('Extração'!O:O,"Sim",'Extração'!J:J,A247)/B247)</f>
        <v/>
      </c>
      <c r="E247" s="12" t="str">
        <f>IF(B247=0,"",COUNTIFS('Extração'!N:N,"Parcialmente",'Extração'!J:J,A247)/B247)</f>
        <v/>
      </c>
      <c r="F247" s="12" t="str">
        <f>IF(B247=0,"",COUNTIFS('Extração'!O:O,"Parcialmente",'Extração'!J:J,A247)/B247)</f>
        <v/>
      </c>
      <c r="G247" s="12" t="str">
        <f>IF(B247=0,"",COUNTIFS('Extração'!N:N,"Não",'Extração'!J:J,A247)/B247)</f>
        <v/>
      </c>
      <c r="H247" s="12" t="str">
        <f>IF(B247=0,"",COUNTIFS('Extração'!O:O,"Não",'Extração'!J:J,A247)/B247)</f>
        <v/>
      </c>
      <c r="I247" s="12" t="str">
        <f>IF(B247=0,"",COUNTIFS('Extração'!P:P,"Igual",'Extração'!J:J,A247)/B247)</f>
        <v/>
      </c>
    </row>
    <row r="248">
      <c r="B248" s="12">
        <f>COUNTIF('Extração'!J:J,A248)</f>
        <v>0</v>
      </c>
      <c r="C248" s="12" t="str">
        <f>IF(B248=0,"",COUNTIFS('Extração'!N:N,"Sim",'Extração'!J:J,A248)/B248)</f>
        <v/>
      </c>
      <c r="D248" s="12" t="str">
        <f>IF(B248=0,"",COUNTIFS('Extração'!O:O,"Sim",'Extração'!J:J,A248)/B248)</f>
        <v/>
      </c>
      <c r="E248" s="12" t="str">
        <f>IF(B248=0,"",COUNTIFS('Extração'!N:N,"Parcialmente",'Extração'!J:J,A248)/B248)</f>
        <v/>
      </c>
      <c r="F248" s="12" t="str">
        <f>IF(B248=0,"",COUNTIFS('Extração'!O:O,"Parcialmente",'Extração'!J:J,A248)/B248)</f>
        <v/>
      </c>
      <c r="G248" s="12" t="str">
        <f>IF(B248=0,"",COUNTIFS('Extração'!N:N,"Não",'Extração'!J:J,A248)/B248)</f>
        <v/>
      </c>
      <c r="H248" s="12" t="str">
        <f>IF(B248=0,"",COUNTIFS('Extração'!O:O,"Não",'Extração'!J:J,A248)/B248)</f>
        <v/>
      </c>
      <c r="I248" s="12" t="str">
        <f>IF(B248=0,"",COUNTIFS('Extração'!P:P,"Igual",'Extração'!J:J,A248)/B248)</f>
        <v/>
      </c>
    </row>
    <row r="249">
      <c r="B249" s="12">
        <f>COUNTIF('Extração'!J:J,A249)</f>
        <v>0</v>
      </c>
      <c r="C249" s="12" t="str">
        <f>IF(B249=0,"",COUNTIFS('Extração'!N:N,"Sim",'Extração'!J:J,A249)/B249)</f>
        <v/>
      </c>
      <c r="D249" s="12" t="str">
        <f>IF(B249=0,"",COUNTIFS('Extração'!O:O,"Sim",'Extração'!J:J,A249)/B249)</f>
        <v/>
      </c>
      <c r="E249" s="12" t="str">
        <f>IF(B249=0,"",COUNTIFS('Extração'!N:N,"Parcialmente",'Extração'!J:J,A249)/B249)</f>
        <v/>
      </c>
      <c r="F249" s="12" t="str">
        <f>IF(B249=0,"",COUNTIFS('Extração'!O:O,"Parcialmente",'Extração'!J:J,A249)/B249)</f>
        <v/>
      </c>
      <c r="G249" s="12" t="str">
        <f>IF(B249=0,"",COUNTIFS('Extração'!N:N,"Não",'Extração'!J:J,A249)/B249)</f>
        <v/>
      </c>
      <c r="H249" s="12" t="str">
        <f>IF(B249=0,"",COUNTIFS('Extração'!O:O,"Não",'Extração'!J:J,A249)/B249)</f>
        <v/>
      </c>
      <c r="I249" s="12" t="str">
        <f>IF(B249=0,"",COUNTIFS('Extração'!P:P,"Igual",'Extração'!J:J,A249)/B249)</f>
        <v/>
      </c>
    </row>
    <row r="250">
      <c r="B250" s="12">
        <f>COUNTIF('Extração'!J:J,A250)</f>
        <v>0</v>
      </c>
      <c r="C250" s="12" t="str">
        <f>IF(B250=0,"",COUNTIFS('Extração'!N:N,"Sim",'Extração'!J:J,A250)/B250)</f>
        <v/>
      </c>
      <c r="D250" s="12" t="str">
        <f>IF(B250=0,"",COUNTIFS('Extração'!O:O,"Sim",'Extração'!J:J,A250)/B250)</f>
        <v/>
      </c>
      <c r="E250" s="12" t="str">
        <f>IF(B250=0,"",COUNTIFS('Extração'!N:N,"Parcialmente",'Extração'!J:J,A250)/B250)</f>
        <v/>
      </c>
      <c r="F250" s="12" t="str">
        <f>IF(B250=0,"",COUNTIFS('Extração'!O:O,"Parcialmente",'Extração'!J:J,A250)/B250)</f>
        <v/>
      </c>
      <c r="G250" s="12" t="str">
        <f>IF(B250=0,"",COUNTIFS('Extração'!N:N,"Não",'Extração'!J:J,A250)/B250)</f>
        <v/>
      </c>
      <c r="H250" s="12" t="str">
        <f>IF(B250=0,"",COUNTIFS('Extração'!O:O,"Não",'Extração'!J:J,A250)/B250)</f>
        <v/>
      </c>
      <c r="I250" s="12" t="str">
        <f>IF(B250=0,"",COUNTIFS('Extração'!P:P,"Igual",'Extração'!J:J,A250)/B250)</f>
        <v/>
      </c>
    </row>
    <row r="251">
      <c r="B251" s="12">
        <f>COUNTIF('Extração'!J:J,A251)</f>
        <v>0</v>
      </c>
      <c r="C251" s="12" t="str">
        <f>IF(B251=0,"",COUNTIFS('Extração'!N:N,"Sim",'Extração'!J:J,A251)/B251)</f>
        <v/>
      </c>
      <c r="D251" s="12" t="str">
        <f>IF(B251=0,"",COUNTIFS('Extração'!O:O,"Sim",'Extração'!J:J,A251)/B251)</f>
        <v/>
      </c>
      <c r="E251" s="12" t="str">
        <f>IF(B251=0,"",COUNTIFS('Extração'!N:N,"Parcialmente",'Extração'!J:J,A251)/B251)</f>
        <v/>
      </c>
      <c r="F251" s="12" t="str">
        <f>IF(B251=0,"",COUNTIFS('Extração'!O:O,"Parcialmente",'Extração'!J:J,A251)/B251)</f>
        <v/>
      </c>
      <c r="G251" s="12" t="str">
        <f>IF(B251=0,"",COUNTIFS('Extração'!N:N,"Não",'Extração'!J:J,A251)/B251)</f>
        <v/>
      </c>
      <c r="H251" s="12" t="str">
        <f>IF(B251=0,"",COUNTIFS('Extração'!O:O,"Não",'Extração'!J:J,A251)/B251)</f>
        <v/>
      </c>
      <c r="I251" s="12" t="str">
        <f>IF(B251=0,"",COUNTIFS('Extração'!P:P,"Igual",'Extração'!J:J,A251)/B251)</f>
        <v/>
      </c>
    </row>
    <row r="252">
      <c r="B252" s="12">
        <f>COUNTIF('Extração'!J:J,A252)</f>
        <v>0</v>
      </c>
      <c r="C252" s="12" t="str">
        <f>IF(B252=0,"",COUNTIFS('Extração'!N:N,"Sim",'Extração'!J:J,A252)/B252)</f>
        <v/>
      </c>
      <c r="D252" s="12" t="str">
        <f>IF(B252=0,"",COUNTIFS('Extração'!O:O,"Sim",'Extração'!J:J,A252)/B252)</f>
        <v/>
      </c>
      <c r="E252" s="12" t="str">
        <f>IF(B252=0,"",COUNTIFS('Extração'!N:N,"Parcialmente",'Extração'!J:J,A252)/B252)</f>
        <v/>
      </c>
      <c r="F252" s="12" t="str">
        <f>IF(B252=0,"",COUNTIFS('Extração'!O:O,"Parcialmente",'Extração'!J:J,A252)/B252)</f>
        <v/>
      </c>
      <c r="G252" s="12" t="str">
        <f>IF(B252=0,"",COUNTIFS('Extração'!N:N,"Não",'Extração'!J:J,A252)/B252)</f>
        <v/>
      </c>
      <c r="H252" s="12" t="str">
        <f>IF(B252=0,"",COUNTIFS('Extração'!O:O,"Não",'Extração'!J:J,A252)/B252)</f>
        <v/>
      </c>
      <c r="I252" s="12" t="str">
        <f>IF(B252=0,"",COUNTIFS('Extração'!P:P,"Igual",'Extração'!J:J,A252)/B252)</f>
        <v/>
      </c>
    </row>
    <row r="253">
      <c r="B253" s="12">
        <f>COUNTIF('Extração'!J:J,A253)</f>
        <v>0</v>
      </c>
      <c r="C253" s="12" t="str">
        <f>IF(B253=0,"",COUNTIFS('Extração'!N:N,"Sim",'Extração'!J:J,A253)/B253)</f>
        <v/>
      </c>
      <c r="D253" s="12" t="str">
        <f>IF(B253=0,"",COUNTIFS('Extração'!O:O,"Sim",'Extração'!J:J,A253)/B253)</f>
        <v/>
      </c>
      <c r="E253" s="12" t="str">
        <f>IF(B253=0,"",COUNTIFS('Extração'!N:N,"Parcialmente",'Extração'!J:J,A253)/B253)</f>
        <v/>
      </c>
      <c r="F253" s="12" t="str">
        <f>IF(B253=0,"",COUNTIFS('Extração'!O:O,"Parcialmente",'Extração'!J:J,A253)/B253)</f>
        <v/>
      </c>
      <c r="G253" s="12" t="str">
        <f>IF(B253=0,"",COUNTIFS('Extração'!N:N,"Não",'Extração'!J:J,A253)/B253)</f>
        <v/>
      </c>
      <c r="H253" s="12" t="str">
        <f>IF(B253=0,"",COUNTIFS('Extração'!O:O,"Não",'Extração'!J:J,A253)/B253)</f>
        <v/>
      </c>
      <c r="I253" s="12" t="str">
        <f>IF(B253=0,"",COUNTIFS('Extração'!P:P,"Igual",'Extração'!J:J,A253)/B253)</f>
        <v/>
      </c>
    </row>
    <row r="254">
      <c r="B254" s="12">
        <f>COUNTIF('Extração'!J:J,A254)</f>
        <v>0</v>
      </c>
      <c r="C254" s="12" t="str">
        <f>IF(B254=0,"",COUNTIFS('Extração'!N:N,"Sim",'Extração'!J:J,A254)/B254)</f>
        <v/>
      </c>
      <c r="D254" s="12" t="str">
        <f>IF(B254=0,"",COUNTIFS('Extração'!O:O,"Sim",'Extração'!J:J,A254)/B254)</f>
        <v/>
      </c>
      <c r="E254" s="12" t="str">
        <f>IF(B254=0,"",COUNTIFS('Extração'!N:N,"Parcialmente",'Extração'!J:J,A254)/B254)</f>
        <v/>
      </c>
      <c r="F254" s="12" t="str">
        <f>IF(B254=0,"",COUNTIFS('Extração'!O:O,"Parcialmente",'Extração'!J:J,A254)/B254)</f>
        <v/>
      </c>
      <c r="G254" s="12" t="str">
        <f>IF(B254=0,"",COUNTIFS('Extração'!N:N,"Não",'Extração'!J:J,A254)/B254)</f>
        <v/>
      </c>
      <c r="H254" s="12" t="str">
        <f>IF(B254=0,"",COUNTIFS('Extração'!O:O,"Não",'Extração'!J:J,A254)/B254)</f>
        <v/>
      </c>
      <c r="I254" s="12" t="str">
        <f>IF(B254=0,"",COUNTIFS('Extração'!P:P,"Igual",'Extração'!J:J,A254)/B254)</f>
        <v/>
      </c>
    </row>
    <row r="255">
      <c r="B255" s="12">
        <f>COUNTIF('Extração'!J:J,A255)</f>
        <v>0</v>
      </c>
      <c r="C255" s="12" t="str">
        <f>IF(B255=0,"",COUNTIFS('Extração'!N:N,"Sim",'Extração'!J:J,A255)/B255)</f>
        <v/>
      </c>
      <c r="D255" s="12" t="str">
        <f>IF(B255=0,"",COUNTIFS('Extração'!O:O,"Sim",'Extração'!J:J,A255)/B255)</f>
        <v/>
      </c>
      <c r="E255" s="12" t="str">
        <f>IF(B255=0,"",COUNTIFS('Extração'!N:N,"Parcialmente",'Extração'!J:J,A255)/B255)</f>
        <v/>
      </c>
      <c r="F255" s="12" t="str">
        <f>IF(B255=0,"",COUNTIFS('Extração'!O:O,"Parcialmente",'Extração'!J:J,A255)/B255)</f>
        <v/>
      </c>
      <c r="G255" s="12" t="str">
        <f>IF(B255=0,"",COUNTIFS('Extração'!N:N,"Não",'Extração'!J:J,A255)/B255)</f>
        <v/>
      </c>
      <c r="H255" s="12" t="str">
        <f>IF(B255=0,"",COUNTIFS('Extração'!O:O,"Não",'Extração'!J:J,A255)/B255)</f>
        <v/>
      </c>
      <c r="I255" s="12" t="str">
        <f>IF(B255=0,"",COUNTIFS('Extração'!P:P,"Igual",'Extração'!J:J,A255)/B255)</f>
        <v/>
      </c>
    </row>
    <row r="256">
      <c r="B256" s="12">
        <f>COUNTIF('Extração'!J:J,A256)</f>
        <v>0</v>
      </c>
      <c r="C256" s="12" t="str">
        <f>IF(B256=0,"",COUNTIFS('Extração'!N:N,"Sim",'Extração'!J:J,A256)/B256)</f>
        <v/>
      </c>
      <c r="D256" s="12" t="str">
        <f>IF(B256=0,"",COUNTIFS('Extração'!O:O,"Sim",'Extração'!J:J,A256)/B256)</f>
        <v/>
      </c>
      <c r="E256" s="12" t="str">
        <f>IF(B256=0,"",COUNTIFS('Extração'!N:N,"Parcialmente",'Extração'!J:J,A256)/B256)</f>
        <v/>
      </c>
      <c r="F256" s="12" t="str">
        <f>IF(B256=0,"",COUNTIFS('Extração'!O:O,"Parcialmente",'Extração'!J:J,A256)/B256)</f>
        <v/>
      </c>
      <c r="G256" s="12" t="str">
        <f>IF(B256=0,"",COUNTIFS('Extração'!N:N,"Não",'Extração'!J:J,A256)/B256)</f>
        <v/>
      </c>
      <c r="H256" s="12" t="str">
        <f>IF(B256=0,"",COUNTIFS('Extração'!O:O,"Não",'Extração'!J:J,A256)/B256)</f>
        <v/>
      </c>
      <c r="I256" s="12" t="str">
        <f>IF(B256=0,"",COUNTIFS('Extração'!P:P,"Igual",'Extração'!J:J,A256)/B256)</f>
        <v/>
      </c>
    </row>
    <row r="257">
      <c r="B257" s="12">
        <f>COUNTIF('Extração'!J:J,A257)</f>
        <v>0</v>
      </c>
      <c r="C257" s="12" t="str">
        <f>IF(B257=0,"",COUNTIFS('Extração'!N:N,"Sim",'Extração'!J:J,A257)/B257)</f>
        <v/>
      </c>
      <c r="D257" s="12" t="str">
        <f>IF(B257=0,"",COUNTIFS('Extração'!O:O,"Sim",'Extração'!J:J,A257)/B257)</f>
        <v/>
      </c>
      <c r="E257" s="12" t="str">
        <f>IF(B257=0,"",COUNTIFS('Extração'!N:N,"Parcialmente",'Extração'!J:J,A257)/B257)</f>
        <v/>
      </c>
      <c r="F257" s="12" t="str">
        <f>IF(B257=0,"",COUNTIFS('Extração'!O:O,"Parcialmente",'Extração'!J:J,A257)/B257)</f>
        <v/>
      </c>
      <c r="G257" s="12" t="str">
        <f>IF(B257=0,"",COUNTIFS('Extração'!N:N,"Não",'Extração'!J:J,A257)/B257)</f>
        <v/>
      </c>
      <c r="H257" s="12" t="str">
        <f>IF(B257=0,"",COUNTIFS('Extração'!O:O,"Não",'Extração'!J:J,A257)/B257)</f>
        <v/>
      </c>
      <c r="I257" s="12" t="str">
        <f>IF(B257=0,"",COUNTIFS('Extração'!P:P,"Igual",'Extração'!J:J,A257)/B257)</f>
        <v/>
      </c>
    </row>
    <row r="258">
      <c r="B258" s="12">
        <f>COUNTIF('Extração'!J:J,A258)</f>
        <v>0</v>
      </c>
      <c r="C258" s="12" t="str">
        <f>IF(B258=0,"",COUNTIFS('Extração'!N:N,"Sim",'Extração'!J:J,A258)/B258)</f>
        <v/>
      </c>
      <c r="D258" s="12" t="str">
        <f>IF(B258=0,"",COUNTIFS('Extração'!O:O,"Sim",'Extração'!J:J,A258)/B258)</f>
        <v/>
      </c>
      <c r="E258" s="12" t="str">
        <f>IF(B258=0,"",COUNTIFS('Extração'!N:N,"Parcialmente",'Extração'!J:J,A258)/B258)</f>
        <v/>
      </c>
      <c r="F258" s="12" t="str">
        <f>IF(B258=0,"",COUNTIFS('Extração'!O:O,"Parcialmente",'Extração'!J:J,A258)/B258)</f>
        <v/>
      </c>
      <c r="G258" s="12" t="str">
        <f>IF(B258=0,"",COUNTIFS('Extração'!N:N,"Não",'Extração'!J:J,A258)/B258)</f>
        <v/>
      </c>
      <c r="H258" s="12" t="str">
        <f>IF(B258=0,"",COUNTIFS('Extração'!O:O,"Não",'Extração'!J:J,A258)/B258)</f>
        <v/>
      </c>
      <c r="I258" s="12" t="str">
        <f>IF(B258=0,"",COUNTIFS('Extração'!P:P,"Igual",'Extração'!J:J,A258)/B258)</f>
        <v/>
      </c>
    </row>
    <row r="259">
      <c r="B259" s="12">
        <f>COUNTIF('Extração'!J:J,A259)</f>
        <v>0</v>
      </c>
      <c r="C259" s="12" t="str">
        <f>IF(B259=0,"",COUNTIFS('Extração'!N:N,"Sim",'Extração'!J:J,A259)/B259)</f>
        <v/>
      </c>
      <c r="D259" s="12" t="str">
        <f>IF(B259=0,"",COUNTIFS('Extração'!O:O,"Sim",'Extração'!J:J,A259)/B259)</f>
        <v/>
      </c>
      <c r="E259" s="12" t="str">
        <f>IF(B259=0,"",COUNTIFS('Extração'!N:N,"Parcialmente",'Extração'!J:J,A259)/B259)</f>
        <v/>
      </c>
      <c r="F259" s="12" t="str">
        <f>IF(B259=0,"",COUNTIFS('Extração'!O:O,"Parcialmente",'Extração'!J:J,A259)/B259)</f>
        <v/>
      </c>
      <c r="G259" s="12" t="str">
        <f>IF(B259=0,"",COUNTIFS('Extração'!N:N,"Não",'Extração'!J:J,A259)/B259)</f>
        <v/>
      </c>
      <c r="H259" s="12" t="str">
        <f>IF(B259=0,"",COUNTIFS('Extração'!O:O,"Não",'Extração'!J:J,A259)/B259)</f>
        <v/>
      </c>
      <c r="I259" s="12" t="str">
        <f>IF(B259=0,"",COUNTIFS('Extração'!P:P,"Igual",'Extração'!J:J,A259)/B259)</f>
        <v/>
      </c>
    </row>
    <row r="260">
      <c r="B260" s="12">
        <f>COUNTIF('Extração'!J:J,A260)</f>
        <v>0</v>
      </c>
      <c r="C260" s="12" t="str">
        <f>IF(B260=0,"",COUNTIFS('Extração'!N:N,"Sim",'Extração'!J:J,A260)/B260)</f>
        <v/>
      </c>
      <c r="D260" s="12" t="str">
        <f>IF(B260=0,"",COUNTIFS('Extração'!O:O,"Sim",'Extração'!J:J,A260)/B260)</f>
        <v/>
      </c>
      <c r="E260" s="12" t="str">
        <f>IF(B260=0,"",COUNTIFS('Extração'!N:N,"Parcialmente",'Extração'!J:J,A260)/B260)</f>
        <v/>
      </c>
      <c r="F260" s="12" t="str">
        <f>IF(B260=0,"",COUNTIFS('Extração'!O:O,"Parcialmente",'Extração'!J:J,A260)/B260)</f>
        <v/>
      </c>
      <c r="G260" s="12" t="str">
        <f>IF(B260=0,"",COUNTIFS('Extração'!N:N,"Não",'Extração'!J:J,A260)/B260)</f>
        <v/>
      </c>
      <c r="H260" s="12" t="str">
        <f>IF(B260=0,"",COUNTIFS('Extração'!O:O,"Não",'Extração'!J:J,A260)/B260)</f>
        <v/>
      </c>
      <c r="I260" s="12" t="str">
        <f>IF(B260=0,"",COUNTIFS('Extração'!P:P,"Igual",'Extração'!J:J,A260)/B260)</f>
        <v/>
      </c>
    </row>
    <row r="261">
      <c r="B261" s="12">
        <f>COUNTIF('Extração'!J:J,A261)</f>
        <v>0</v>
      </c>
      <c r="C261" s="12" t="str">
        <f>IF(B261=0,"",COUNTIFS('Extração'!N:N,"Sim",'Extração'!J:J,A261)/B261)</f>
        <v/>
      </c>
      <c r="D261" s="12" t="str">
        <f>IF(B261=0,"",COUNTIFS('Extração'!O:O,"Sim",'Extração'!J:J,A261)/B261)</f>
        <v/>
      </c>
      <c r="E261" s="12" t="str">
        <f>IF(B261=0,"",COUNTIFS('Extração'!N:N,"Parcialmente",'Extração'!J:J,A261)/B261)</f>
        <v/>
      </c>
      <c r="F261" s="12" t="str">
        <f>IF(B261=0,"",COUNTIFS('Extração'!O:O,"Parcialmente",'Extração'!J:J,A261)/B261)</f>
        <v/>
      </c>
      <c r="G261" s="12" t="str">
        <f>IF(B261=0,"",COUNTIFS('Extração'!N:N,"Não",'Extração'!J:J,A261)/B261)</f>
        <v/>
      </c>
      <c r="H261" s="12" t="str">
        <f>IF(B261=0,"",COUNTIFS('Extração'!O:O,"Não",'Extração'!J:J,A261)/B261)</f>
        <v/>
      </c>
      <c r="I261" s="12" t="str">
        <f>IF(B261=0,"",COUNTIFS('Extração'!P:P,"Igual",'Extração'!J:J,A261)/B261)</f>
        <v/>
      </c>
    </row>
    <row r="262">
      <c r="B262" s="12">
        <f>COUNTIF('Extração'!J:J,A262)</f>
        <v>0</v>
      </c>
      <c r="C262" s="12" t="str">
        <f>IF(B262=0,"",COUNTIFS('Extração'!N:N,"Sim",'Extração'!J:J,A262)/B262)</f>
        <v/>
      </c>
      <c r="D262" s="12" t="str">
        <f>IF(B262=0,"",COUNTIFS('Extração'!O:O,"Sim",'Extração'!J:J,A262)/B262)</f>
        <v/>
      </c>
      <c r="E262" s="12" t="str">
        <f>IF(B262=0,"",COUNTIFS('Extração'!N:N,"Parcialmente",'Extração'!J:J,A262)/B262)</f>
        <v/>
      </c>
      <c r="F262" s="12" t="str">
        <f>IF(B262=0,"",COUNTIFS('Extração'!O:O,"Parcialmente",'Extração'!J:J,A262)/B262)</f>
        <v/>
      </c>
      <c r="G262" s="12" t="str">
        <f>IF(B262=0,"",COUNTIFS('Extração'!N:N,"Não",'Extração'!J:J,A262)/B262)</f>
        <v/>
      </c>
      <c r="H262" s="12" t="str">
        <f>IF(B262=0,"",COUNTIFS('Extração'!O:O,"Não",'Extração'!J:J,A262)/B262)</f>
        <v/>
      </c>
      <c r="I262" s="12" t="str">
        <f>IF(B262=0,"",COUNTIFS('Extração'!P:P,"Igual",'Extração'!J:J,A262)/B262)</f>
        <v/>
      </c>
    </row>
    <row r="263">
      <c r="B263" s="12">
        <f>COUNTIF('Extração'!J:J,A263)</f>
        <v>0</v>
      </c>
      <c r="C263" s="12" t="str">
        <f>IF(B263=0,"",COUNTIFS('Extração'!N:N,"Sim",'Extração'!J:J,A263)/B263)</f>
        <v/>
      </c>
      <c r="D263" s="12" t="str">
        <f>IF(B263=0,"",COUNTIFS('Extração'!O:O,"Sim",'Extração'!J:J,A263)/B263)</f>
        <v/>
      </c>
      <c r="E263" s="12" t="str">
        <f>IF(B263=0,"",COUNTIFS('Extração'!N:N,"Parcialmente",'Extração'!J:J,A263)/B263)</f>
        <v/>
      </c>
      <c r="F263" s="12" t="str">
        <f>IF(B263=0,"",COUNTIFS('Extração'!O:O,"Parcialmente",'Extração'!J:J,A263)/B263)</f>
        <v/>
      </c>
      <c r="G263" s="12" t="str">
        <f>IF(B263=0,"",COUNTIFS('Extração'!N:N,"Não",'Extração'!J:J,A263)/B263)</f>
        <v/>
      </c>
      <c r="H263" s="12" t="str">
        <f>IF(B263=0,"",COUNTIFS('Extração'!O:O,"Não",'Extração'!J:J,A263)/B263)</f>
        <v/>
      </c>
      <c r="I263" s="12" t="str">
        <f>IF(B263=0,"",COUNTIFS('Extração'!P:P,"Igual",'Extração'!J:J,A263)/B263)</f>
        <v/>
      </c>
    </row>
    <row r="264">
      <c r="B264" s="12">
        <f>COUNTIF('Extração'!J:J,A264)</f>
        <v>0</v>
      </c>
      <c r="C264" s="12" t="str">
        <f>IF(B264=0,"",COUNTIFS('Extração'!N:N,"Sim",'Extração'!J:J,A264)/B264)</f>
        <v/>
      </c>
      <c r="D264" s="12" t="str">
        <f>IF(B264=0,"",COUNTIFS('Extração'!O:O,"Sim",'Extração'!J:J,A264)/B264)</f>
        <v/>
      </c>
      <c r="E264" s="12" t="str">
        <f>IF(B264=0,"",COUNTIFS('Extração'!N:N,"Parcialmente",'Extração'!J:J,A264)/B264)</f>
        <v/>
      </c>
      <c r="F264" s="12" t="str">
        <f>IF(B264=0,"",COUNTIFS('Extração'!O:O,"Parcialmente",'Extração'!J:J,A264)/B264)</f>
        <v/>
      </c>
      <c r="G264" s="12" t="str">
        <f>IF(B264=0,"",COUNTIFS('Extração'!N:N,"Não",'Extração'!J:J,A264)/B264)</f>
        <v/>
      </c>
      <c r="H264" s="12" t="str">
        <f>IF(B264=0,"",COUNTIFS('Extração'!O:O,"Não",'Extração'!J:J,A264)/B264)</f>
        <v/>
      </c>
      <c r="I264" s="12" t="str">
        <f>IF(B264=0,"",COUNTIFS('Extração'!P:P,"Igual",'Extração'!J:J,A264)/B264)</f>
        <v/>
      </c>
    </row>
    <row r="265">
      <c r="B265" s="12">
        <f>COUNTIF('Extração'!J:J,A265)</f>
        <v>0</v>
      </c>
      <c r="C265" s="12" t="str">
        <f>IF(B265=0,"",COUNTIFS('Extração'!N:N,"Sim",'Extração'!J:J,A265)/B265)</f>
        <v/>
      </c>
      <c r="D265" s="12" t="str">
        <f>IF(B265=0,"",COUNTIFS('Extração'!O:O,"Sim",'Extração'!J:J,A265)/B265)</f>
        <v/>
      </c>
      <c r="E265" s="12" t="str">
        <f>IF(B265=0,"",COUNTIFS('Extração'!N:N,"Parcialmente",'Extração'!J:J,A265)/B265)</f>
        <v/>
      </c>
      <c r="F265" s="12" t="str">
        <f>IF(B265=0,"",COUNTIFS('Extração'!O:O,"Parcialmente",'Extração'!J:J,A265)/B265)</f>
        <v/>
      </c>
      <c r="G265" s="12" t="str">
        <f>IF(B265=0,"",COUNTIFS('Extração'!N:N,"Não",'Extração'!J:J,A265)/B265)</f>
        <v/>
      </c>
      <c r="H265" s="12" t="str">
        <f>IF(B265=0,"",COUNTIFS('Extração'!O:O,"Não",'Extração'!J:J,A265)/B265)</f>
        <v/>
      </c>
      <c r="I265" s="12" t="str">
        <f>IF(B265=0,"",COUNTIFS('Extração'!P:P,"Igual",'Extração'!J:J,A265)/B265)</f>
        <v/>
      </c>
    </row>
    <row r="266">
      <c r="B266" s="12">
        <f>COUNTIF('Extração'!J:J,A266)</f>
        <v>0</v>
      </c>
      <c r="C266" s="12" t="str">
        <f>IF(B266=0,"",COUNTIFS('Extração'!N:N,"Sim",'Extração'!J:J,A266)/B266)</f>
        <v/>
      </c>
      <c r="D266" s="12" t="str">
        <f>IF(B266=0,"",COUNTIFS('Extração'!O:O,"Sim",'Extração'!J:J,A266)/B266)</f>
        <v/>
      </c>
      <c r="E266" s="12" t="str">
        <f>IF(B266=0,"",COUNTIFS('Extração'!N:N,"Parcialmente",'Extração'!J:J,A266)/B266)</f>
        <v/>
      </c>
      <c r="F266" s="12" t="str">
        <f>IF(B266=0,"",COUNTIFS('Extração'!O:O,"Parcialmente",'Extração'!J:J,A266)/B266)</f>
        <v/>
      </c>
      <c r="G266" s="12" t="str">
        <f>IF(B266=0,"",COUNTIFS('Extração'!N:N,"Não",'Extração'!J:J,A266)/B266)</f>
        <v/>
      </c>
      <c r="H266" s="12" t="str">
        <f>IF(B266=0,"",COUNTIFS('Extração'!O:O,"Não",'Extração'!J:J,A266)/B266)</f>
        <v/>
      </c>
      <c r="I266" s="12" t="str">
        <f>IF(B266=0,"",COUNTIFS('Extração'!P:P,"Igual",'Extração'!J:J,A266)/B266)</f>
        <v/>
      </c>
    </row>
    <row r="267">
      <c r="B267" s="12">
        <f>COUNTIF('Extração'!J:J,A267)</f>
        <v>0</v>
      </c>
      <c r="C267" s="12" t="str">
        <f>IF(B267=0,"",COUNTIFS('Extração'!N:N,"Sim",'Extração'!J:J,A267)/B267)</f>
        <v/>
      </c>
      <c r="D267" s="12" t="str">
        <f>IF(B267=0,"",COUNTIFS('Extração'!O:O,"Sim",'Extração'!J:J,A267)/B267)</f>
        <v/>
      </c>
      <c r="E267" s="12" t="str">
        <f>IF(B267=0,"",COUNTIFS('Extração'!N:N,"Parcialmente",'Extração'!J:J,A267)/B267)</f>
        <v/>
      </c>
      <c r="F267" s="12" t="str">
        <f>IF(B267=0,"",COUNTIFS('Extração'!O:O,"Parcialmente",'Extração'!J:J,A267)/B267)</f>
        <v/>
      </c>
      <c r="G267" s="12" t="str">
        <f>IF(B267=0,"",COUNTIFS('Extração'!N:N,"Não",'Extração'!J:J,A267)/B267)</f>
        <v/>
      </c>
      <c r="H267" s="12" t="str">
        <f>IF(B267=0,"",COUNTIFS('Extração'!O:O,"Não",'Extração'!J:J,A267)/B267)</f>
        <v/>
      </c>
      <c r="I267" s="12" t="str">
        <f>IF(B267=0,"",COUNTIFS('Extração'!P:P,"Igual",'Extração'!J:J,A267)/B267)</f>
        <v/>
      </c>
    </row>
    <row r="268">
      <c r="B268" s="12">
        <f>COUNTIF('Extração'!J:J,A268)</f>
        <v>0</v>
      </c>
      <c r="C268" s="12" t="str">
        <f>IF(B268=0,"",COUNTIFS('Extração'!N:N,"Sim",'Extração'!J:J,A268)/B268)</f>
        <v/>
      </c>
      <c r="D268" s="12" t="str">
        <f>IF(B268=0,"",COUNTIFS('Extração'!O:O,"Sim",'Extração'!J:J,A268)/B268)</f>
        <v/>
      </c>
      <c r="E268" s="12" t="str">
        <f>IF(B268=0,"",COUNTIFS('Extração'!N:N,"Parcialmente",'Extração'!J:J,A268)/B268)</f>
        <v/>
      </c>
      <c r="F268" s="12" t="str">
        <f>IF(B268=0,"",COUNTIFS('Extração'!O:O,"Parcialmente",'Extração'!J:J,A268)/B268)</f>
        <v/>
      </c>
      <c r="G268" s="12" t="str">
        <f>IF(B268=0,"",COUNTIFS('Extração'!N:N,"Não",'Extração'!J:J,A268)/B268)</f>
        <v/>
      </c>
      <c r="H268" s="12" t="str">
        <f>IF(B268=0,"",COUNTIFS('Extração'!O:O,"Não",'Extração'!J:J,A268)/B268)</f>
        <v/>
      </c>
      <c r="I268" s="12" t="str">
        <f>IF(B268=0,"",COUNTIFS('Extração'!P:P,"Igual",'Extração'!J:J,A268)/B268)</f>
        <v/>
      </c>
    </row>
    <row r="269">
      <c r="B269" s="12">
        <f>COUNTIF('Extração'!J:J,A269)</f>
        <v>0</v>
      </c>
      <c r="C269" s="12" t="str">
        <f>IF(B269=0,"",COUNTIFS('Extração'!N:N,"Sim",'Extração'!J:J,A269)/B269)</f>
        <v/>
      </c>
      <c r="D269" s="12" t="str">
        <f>IF(B269=0,"",COUNTIFS('Extração'!O:O,"Sim",'Extração'!J:J,A269)/B269)</f>
        <v/>
      </c>
      <c r="E269" s="12" t="str">
        <f>IF(B269=0,"",COUNTIFS('Extração'!N:N,"Parcialmente",'Extração'!J:J,A269)/B269)</f>
        <v/>
      </c>
      <c r="F269" s="12" t="str">
        <f>IF(B269=0,"",COUNTIFS('Extração'!O:O,"Parcialmente",'Extração'!J:J,A269)/B269)</f>
        <v/>
      </c>
      <c r="G269" s="12" t="str">
        <f>IF(B269=0,"",COUNTIFS('Extração'!N:N,"Não",'Extração'!J:J,A269)/B269)</f>
        <v/>
      </c>
      <c r="H269" s="12" t="str">
        <f>IF(B269=0,"",COUNTIFS('Extração'!O:O,"Não",'Extração'!J:J,A269)/B269)</f>
        <v/>
      </c>
      <c r="I269" s="12" t="str">
        <f>IF(B269=0,"",COUNTIFS('Extração'!P:P,"Igual",'Extração'!J:J,A269)/B269)</f>
        <v/>
      </c>
    </row>
    <row r="270">
      <c r="B270" s="12">
        <f>COUNTIF('Extração'!J:J,A270)</f>
        <v>0</v>
      </c>
      <c r="C270" s="12" t="str">
        <f>IF(B270=0,"",COUNTIFS('Extração'!N:N,"Sim",'Extração'!J:J,A270)/B270)</f>
        <v/>
      </c>
      <c r="D270" s="12" t="str">
        <f>IF(B270=0,"",COUNTIFS('Extração'!O:O,"Sim",'Extração'!J:J,A270)/B270)</f>
        <v/>
      </c>
      <c r="E270" s="12" t="str">
        <f>IF(B270=0,"",COUNTIFS('Extração'!N:N,"Parcialmente",'Extração'!J:J,A270)/B270)</f>
        <v/>
      </c>
      <c r="F270" s="12" t="str">
        <f>IF(B270=0,"",COUNTIFS('Extração'!O:O,"Parcialmente",'Extração'!J:J,A270)/B270)</f>
        <v/>
      </c>
      <c r="G270" s="12" t="str">
        <f>IF(B270=0,"",COUNTIFS('Extração'!N:N,"Não",'Extração'!J:J,A270)/B270)</f>
        <v/>
      </c>
      <c r="H270" s="12" t="str">
        <f>IF(B270=0,"",COUNTIFS('Extração'!O:O,"Não",'Extração'!J:J,A270)/B270)</f>
        <v/>
      </c>
      <c r="I270" s="12" t="str">
        <f>IF(B270=0,"",COUNTIFS('Extração'!P:P,"Igual",'Extração'!J:J,A270)/B270)</f>
        <v/>
      </c>
    </row>
    <row r="271">
      <c r="B271" s="12">
        <f>COUNTIF('Extração'!J:J,A271)</f>
        <v>0</v>
      </c>
      <c r="C271" s="12" t="str">
        <f>IF(B271=0,"",COUNTIFS('Extração'!N:N,"Sim",'Extração'!J:J,A271)/B271)</f>
        <v/>
      </c>
      <c r="D271" s="12" t="str">
        <f>IF(B271=0,"",COUNTIFS('Extração'!O:O,"Sim",'Extração'!J:J,A271)/B271)</f>
        <v/>
      </c>
      <c r="E271" s="12" t="str">
        <f>IF(B271=0,"",COUNTIFS('Extração'!N:N,"Parcialmente",'Extração'!J:J,A271)/B271)</f>
        <v/>
      </c>
      <c r="F271" s="12" t="str">
        <f>IF(B271=0,"",COUNTIFS('Extração'!O:O,"Parcialmente",'Extração'!J:J,A271)/B271)</f>
        <v/>
      </c>
      <c r="G271" s="12" t="str">
        <f>IF(B271=0,"",COUNTIFS('Extração'!N:N,"Não",'Extração'!J:J,A271)/B271)</f>
        <v/>
      </c>
      <c r="H271" s="12" t="str">
        <f>IF(B271=0,"",COUNTIFS('Extração'!O:O,"Não",'Extração'!J:J,A271)/B271)</f>
        <v/>
      </c>
      <c r="I271" s="12" t="str">
        <f>IF(B271=0,"",COUNTIFS('Extração'!P:P,"Igual",'Extração'!J:J,A271)/B271)</f>
        <v/>
      </c>
    </row>
    <row r="272">
      <c r="B272" s="12">
        <f>COUNTIF('Extração'!J:J,A272)</f>
        <v>0</v>
      </c>
      <c r="C272" s="12" t="str">
        <f>IF(B272=0,"",COUNTIFS('Extração'!N:N,"Sim",'Extração'!J:J,A272)/B272)</f>
        <v/>
      </c>
      <c r="D272" s="12" t="str">
        <f>IF(B272=0,"",COUNTIFS('Extração'!O:O,"Sim",'Extração'!J:J,A272)/B272)</f>
        <v/>
      </c>
      <c r="E272" s="12" t="str">
        <f>IF(B272=0,"",COUNTIFS('Extração'!N:N,"Parcialmente",'Extração'!J:J,A272)/B272)</f>
        <v/>
      </c>
      <c r="F272" s="12" t="str">
        <f>IF(B272=0,"",COUNTIFS('Extração'!O:O,"Parcialmente",'Extração'!J:J,A272)/B272)</f>
        <v/>
      </c>
      <c r="G272" s="12" t="str">
        <f>IF(B272=0,"",COUNTIFS('Extração'!N:N,"Não",'Extração'!J:J,A272)/B272)</f>
        <v/>
      </c>
      <c r="H272" s="12" t="str">
        <f>IF(B272=0,"",COUNTIFS('Extração'!O:O,"Não",'Extração'!J:J,A272)/B272)</f>
        <v/>
      </c>
      <c r="I272" s="12" t="str">
        <f>IF(B272=0,"",COUNTIFS('Extração'!P:P,"Igual",'Extração'!J:J,A272)/B272)</f>
        <v/>
      </c>
    </row>
    <row r="273">
      <c r="B273" s="12">
        <f>COUNTIF('Extração'!J:J,A273)</f>
        <v>0</v>
      </c>
      <c r="C273" s="12" t="str">
        <f>IF(B273=0,"",COUNTIFS('Extração'!N:N,"Sim",'Extração'!J:J,A273)/B273)</f>
        <v/>
      </c>
      <c r="D273" s="12" t="str">
        <f>IF(B273=0,"",COUNTIFS('Extração'!O:O,"Sim",'Extração'!J:J,A273)/B273)</f>
        <v/>
      </c>
      <c r="E273" s="12" t="str">
        <f>IF(B273=0,"",COUNTIFS('Extração'!N:N,"Parcialmente",'Extração'!J:J,A273)/B273)</f>
        <v/>
      </c>
      <c r="F273" s="12" t="str">
        <f>IF(B273=0,"",COUNTIFS('Extração'!O:O,"Parcialmente",'Extração'!J:J,A273)/B273)</f>
        <v/>
      </c>
      <c r="G273" s="12" t="str">
        <f>IF(B273=0,"",COUNTIFS('Extração'!N:N,"Não",'Extração'!J:J,A273)/B273)</f>
        <v/>
      </c>
      <c r="H273" s="12" t="str">
        <f>IF(B273=0,"",COUNTIFS('Extração'!O:O,"Não",'Extração'!J:J,A273)/B273)</f>
        <v/>
      </c>
      <c r="I273" s="12" t="str">
        <f>IF(B273=0,"",COUNTIFS('Extração'!P:P,"Igual",'Extração'!J:J,A273)/B273)</f>
        <v/>
      </c>
    </row>
    <row r="274">
      <c r="B274" s="12">
        <f>COUNTIF('Extração'!J:J,A274)</f>
        <v>0</v>
      </c>
      <c r="C274" s="12" t="str">
        <f>IF(B274=0,"",COUNTIFS('Extração'!N:N,"Sim",'Extração'!J:J,A274)/B274)</f>
        <v/>
      </c>
      <c r="D274" s="12" t="str">
        <f>IF(B274=0,"",COUNTIFS('Extração'!O:O,"Sim",'Extração'!J:J,A274)/B274)</f>
        <v/>
      </c>
      <c r="E274" s="12" t="str">
        <f>IF(B274=0,"",COUNTIFS('Extração'!N:N,"Parcialmente",'Extração'!J:J,A274)/B274)</f>
        <v/>
      </c>
      <c r="F274" s="12" t="str">
        <f>IF(B274=0,"",COUNTIFS('Extração'!O:O,"Parcialmente",'Extração'!J:J,A274)/B274)</f>
        <v/>
      </c>
      <c r="G274" s="12" t="str">
        <f>IF(B274=0,"",COUNTIFS('Extração'!N:N,"Não",'Extração'!J:J,A274)/B274)</f>
        <v/>
      </c>
      <c r="H274" s="12" t="str">
        <f>IF(B274=0,"",COUNTIFS('Extração'!O:O,"Não",'Extração'!J:J,A274)/B274)</f>
        <v/>
      </c>
      <c r="I274" s="12" t="str">
        <f>IF(B274=0,"",COUNTIFS('Extração'!P:P,"Igual",'Extração'!J:J,A274)/B274)</f>
        <v/>
      </c>
    </row>
    <row r="275">
      <c r="B275" s="12">
        <f>COUNTIF('Extração'!J:J,A275)</f>
        <v>0</v>
      </c>
      <c r="C275" s="12" t="str">
        <f>IF(B275=0,"",COUNTIFS('Extração'!N:N,"Sim",'Extração'!J:J,A275)/B275)</f>
        <v/>
      </c>
      <c r="D275" s="12" t="str">
        <f>IF(B275=0,"",COUNTIFS('Extração'!O:O,"Sim",'Extração'!J:J,A275)/B275)</f>
        <v/>
      </c>
      <c r="E275" s="12" t="str">
        <f>IF(B275=0,"",COUNTIFS('Extração'!N:N,"Parcialmente",'Extração'!J:J,A275)/B275)</f>
        <v/>
      </c>
      <c r="F275" s="12" t="str">
        <f>IF(B275=0,"",COUNTIFS('Extração'!O:O,"Parcialmente",'Extração'!J:J,A275)/B275)</f>
        <v/>
      </c>
      <c r="G275" s="12" t="str">
        <f>IF(B275=0,"",COUNTIFS('Extração'!N:N,"Não",'Extração'!J:J,A275)/B275)</f>
        <v/>
      </c>
      <c r="H275" s="12" t="str">
        <f>IF(B275=0,"",COUNTIFS('Extração'!O:O,"Não",'Extração'!J:J,A275)/B275)</f>
        <v/>
      </c>
      <c r="I275" s="12" t="str">
        <f>IF(B275=0,"",COUNTIFS('Extração'!P:P,"Igual",'Extração'!J:J,A275)/B275)</f>
        <v/>
      </c>
    </row>
    <row r="276">
      <c r="B276" s="12">
        <f>COUNTIF('Extração'!J:J,A276)</f>
        <v>0</v>
      </c>
      <c r="C276" s="12" t="str">
        <f>IF(B276=0,"",COUNTIFS('Extração'!N:N,"Sim",'Extração'!J:J,A276)/B276)</f>
        <v/>
      </c>
      <c r="D276" s="12" t="str">
        <f>IF(B276=0,"",COUNTIFS('Extração'!O:O,"Sim",'Extração'!J:J,A276)/B276)</f>
        <v/>
      </c>
      <c r="E276" s="12" t="str">
        <f>IF(B276=0,"",COUNTIFS('Extração'!N:N,"Parcialmente",'Extração'!J:J,A276)/B276)</f>
        <v/>
      </c>
      <c r="F276" s="12" t="str">
        <f>IF(B276=0,"",COUNTIFS('Extração'!O:O,"Parcialmente",'Extração'!J:J,A276)/B276)</f>
        <v/>
      </c>
      <c r="G276" s="12" t="str">
        <f>IF(B276=0,"",COUNTIFS('Extração'!N:N,"Não",'Extração'!J:J,A276)/B276)</f>
        <v/>
      </c>
      <c r="H276" s="12" t="str">
        <f>IF(B276=0,"",COUNTIFS('Extração'!O:O,"Não",'Extração'!J:J,A276)/B276)</f>
        <v/>
      </c>
      <c r="I276" s="12" t="str">
        <f>IF(B276=0,"",COUNTIFS('Extração'!P:P,"Igual",'Extração'!J:J,A276)/B276)</f>
        <v/>
      </c>
    </row>
    <row r="277">
      <c r="B277" s="12">
        <f>COUNTIF('Extração'!J:J,A277)</f>
        <v>0</v>
      </c>
      <c r="C277" s="12" t="str">
        <f>IF(B277=0,"",COUNTIFS('Extração'!N:N,"Sim",'Extração'!J:J,A277)/B277)</f>
        <v/>
      </c>
      <c r="D277" s="12" t="str">
        <f>IF(B277=0,"",COUNTIFS('Extração'!O:O,"Sim",'Extração'!J:J,A277)/B277)</f>
        <v/>
      </c>
      <c r="E277" s="12" t="str">
        <f>IF(B277=0,"",COUNTIFS('Extração'!N:N,"Parcialmente",'Extração'!J:J,A277)/B277)</f>
        <v/>
      </c>
      <c r="F277" s="12" t="str">
        <f>IF(B277=0,"",COUNTIFS('Extração'!O:O,"Parcialmente",'Extração'!J:J,A277)/B277)</f>
        <v/>
      </c>
      <c r="G277" s="12" t="str">
        <f>IF(B277=0,"",COUNTIFS('Extração'!N:N,"Não",'Extração'!J:J,A277)/B277)</f>
        <v/>
      </c>
      <c r="H277" s="12" t="str">
        <f>IF(B277=0,"",COUNTIFS('Extração'!O:O,"Não",'Extração'!J:J,A277)/B277)</f>
        <v/>
      </c>
      <c r="I277" s="12" t="str">
        <f>IF(B277=0,"",COUNTIFS('Extração'!P:P,"Igual",'Extração'!J:J,A277)/B277)</f>
        <v/>
      </c>
    </row>
    <row r="278">
      <c r="B278" s="12">
        <f>COUNTIF('Extração'!J:J,A278)</f>
        <v>0</v>
      </c>
      <c r="C278" s="12" t="str">
        <f>IF(B278=0,"",COUNTIFS('Extração'!N:N,"Sim",'Extração'!J:J,A278)/B278)</f>
        <v/>
      </c>
      <c r="D278" s="12" t="str">
        <f>IF(B278=0,"",COUNTIFS('Extração'!O:O,"Sim",'Extração'!J:J,A278)/B278)</f>
        <v/>
      </c>
      <c r="E278" s="12" t="str">
        <f>IF(B278=0,"",COUNTIFS('Extração'!N:N,"Parcialmente",'Extração'!J:J,A278)/B278)</f>
        <v/>
      </c>
      <c r="F278" s="12" t="str">
        <f>IF(B278=0,"",COUNTIFS('Extração'!O:O,"Parcialmente",'Extração'!J:J,A278)/B278)</f>
        <v/>
      </c>
      <c r="G278" s="12" t="str">
        <f>IF(B278=0,"",COUNTIFS('Extração'!N:N,"Não",'Extração'!J:J,A278)/B278)</f>
        <v/>
      </c>
      <c r="H278" s="12" t="str">
        <f>IF(B278=0,"",COUNTIFS('Extração'!O:O,"Não",'Extração'!J:J,A278)/B278)</f>
        <v/>
      </c>
      <c r="I278" s="12" t="str">
        <f>IF(B278=0,"",COUNTIFS('Extração'!P:P,"Igual",'Extração'!J:J,A278)/B278)</f>
        <v/>
      </c>
    </row>
    <row r="279">
      <c r="B279" s="12">
        <f>COUNTIF('Extração'!J:J,A279)</f>
        <v>0</v>
      </c>
      <c r="C279" s="12" t="str">
        <f>IF(B279=0,"",COUNTIFS('Extração'!N:N,"Sim",'Extração'!J:J,A279)/B279)</f>
        <v/>
      </c>
      <c r="D279" s="12" t="str">
        <f>IF(B279=0,"",COUNTIFS('Extração'!O:O,"Sim",'Extração'!J:J,A279)/B279)</f>
        <v/>
      </c>
      <c r="E279" s="12" t="str">
        <f>IF(B279=0,"",COUNTIFS('Extração'!N:N,"Parcialmente",'Extração'!J:J,A279)/B279)</f>
        <v/>
      </c>
      <c r="F279" s="12" t="str">
        <f>IF(B279=0,"",COUNTIFS('Extração'!O:O,"Parcialmente",'Extração'!J:J,A279)/B279)</f>
        <v/>
      </c>
      <c r="G279" s="12" t="str">
        <f>IF(B279=0,"",COUNTIFS('Extração'!N:N,"Não",'Extração'!J:J,A279)/B279)</f>
        <v/>
      </c>
      <c r="H279" s="12" t="str">
        <f>IF(B279=0,"",COUNTIFS('Extração'!O:O,"Não",'Extração'!J:J,A279)/B279)</f>
        <v/>
      </c>
      <c r="I279" s="12" t="str">
        <f>IF(B279=0,"",COUNTIFS('Extração'!P:P,"Igual",'Extração'!J:J,A279)/B279)</f>
        <v/>
      </c>
    </row>
    <row r="280">
      <c r="B280" s="12">
        <f>COUNTIF('Extração'!J:J,A280)</f>
        <v>0</v>
      </c>
      <c r="C280" s="12" t="str">
        <f>IF(B280=0,"",COUNTIFS('Extração'!N:N,"Sim",'Extração'!J:J,A280)/B280)</f>
        <v/>
      </c>
      <c r="D280" s="12" t="str">
        <f>IF(B280=0,"",COUNTIFS('Extração'!O:O,"Sim",'Extração'!J:J,A280)/B280)</f>
        <v/>
      </c>
      <c r="E280" s="12" t="str">
        <f>IF(B280=0,"",COUNTIFS('Extração'!N:N,"Parcialmente",'Extração'!J:J,A280)/B280)</f>
        <v/>
      </c>
      <c r="F280" s="12" t="str">
        <f>IF(B280=0,"",COUNTIFS('Extração'!O:O,"Parcialmente",'Extração'!J:J,A280)/B280)</f>
        <v/>
      </c>
      <c r="G280" s="12" t="str">
        <f>IF(B280=0,"",COUNTIFS('Extração'!N:N,"Não",'Extração'!J:J,A280)/B280)</f>
        <v/>
      </c>
      <c r="H280" s="12" t="str">
        <f>IF(B280=0,"",COUNTIFS('Extração'!O:O,"Não",'Extração'!J:J,A280)/B280)</f>
        <v/>
      </c>
      <c r="I280" s="12" t="str">
        <f>IF(B280=0,"",COUNTIFS('Extração'!P:P,"Igual",'Extração'!J:J,A280)/B280)</f>
        <v/>
      </c>
    </row>
    <row r="281">
      <c r="B281" s="12">
        <f>COUNTIF('Extração'!J:J,A281)</f>
        <v>0</v>
      </c>
      <c r="C281" s="12" t="str">
        <f>IF(B281=0,"",COUNTIFS('Extração'!N:N,"Sim",'Extração'!J:J,A281)/B281)</f>
        <v/>
      </c>
      <c r="D281" s="12" t="str">
        <f>IF(B281=0,"",COUNTIFS('Extração'!O:O,"Sim",'Extração'!J:J,A281)/B281)</f>
        <v/>
      </c>
      <c r="E281" s="12" t="str">
        <f>IF(B281=0,"",COUNTIFS('Extração'!N:N,"Parcialmente",'Extração'!J:J,A281)/B281)</f>
        <v/>
      </c>
      <c r="F281" s="12" t="str">
        <f>IF(B281=0,"",COUNTIFS('Extração'!O:O,"Parcialmente",'Extração'!J:J,A281)/B281)</f>
        <v/>
      </c>
      <c r="G281" s="12" t="str">
        <f>IF(B281=0,"",COUNTIFS('Extração'!N:N,"Não",'Extração'!J:J,A281)/B281)</f>
        <v/>
      </c>
      <c r="H281" s="12" t="str">
        <f>IF(B281=0,"",COUNTIFS('Extração'!O:O,"Não",'Extração'!J:J,A281)/B281)</f>
        <v/>
      </c>
      <c r="I281" s="12" t="str">
        <f>IF(B281=0,"",COUNTIFS('Extração'!P:P,"Igual",'Extração'!J:J,A281)/B281)</f>
        <v/>
      </c>
    </row>
    <row r="282">
      <c r="B282" s="12">
        <f>COUNTIF('Extração'!J:J,A282)</f>
        <v>0</v>
      </c>
      <c r="C282" s="12" t="str">
        <f>IF(B282=0,"",COUNTIFS('Extração'!N:N,"Sim",'Extração'!J:J,A282)/B282)</f>
        <v/>
      </c>
      <c r="D282" s="12" t="str">
        <f>IF(B282=0,"",COUNTIFS('Extração'!O:O,"Sim",'Extração'!J:J,A282)/B282)</f>
        <v/>
      </c>
      <c r="E282" s="12" t="str">
        <f>IF(B282=0,"",COUNTIFS('Extração'!N:N,"Parcialmente",'Extração'!J:J,A282)/B282)</f>
        <v/>
      </c>
      <c r="F282" s="12" t="str">
        <f>IF(B282=0,"",COUNTIFS('Extração'!O:O,"Parcialmente",'Extração'!J:J,A282)/B282)</f>
        <v/>
      </c>
      <c r="G282" s="12" t="str">
        <f>IF(B282=0,"",COUNTIFS('Extração'!N:N,"Não",'Extração'!J:J,A282)/B282)</f>
        <v/>
      </c>
      <c r="H282" s="12" t="str">
        <f>IF(B282=0,"",COUNTIFS('Extração'!O:O,"Não",'Extração'!J:J,A282)/B282)</f>
        <v/>
      </c>
      <c r="I282" s="12" t="str">
        <f>IF(B282=0,"",COUNTIFS('Extração'!P:P,"Igual",'Extração'!J:J,A282)/B282)</f>
        <v/>
      </c>
    </row>
    <row r="283">
      <c r="B283" s="12">
        <f>COUNTIF('Extração'!J:J,A283)</f>
        <v>0</v>
      </c>
      <c r="C283" s="12" t="str">
        <f>IF(B283=0,"",COUNTIFS('Extração'!N:N,"Sim",'Extração'!J:J,A283)/B283)</f>
        <v/>
      </c>
      <c r="D283" s="12" t="str">
        <f>IF(B283=0,"",COUNTIFS('Extração'!O:O,"Sim",'Extração'!J:J,A283)/B283)</f>
        <v/>
      </c>
      <c r="E283" s="12" t="str">
        <f>IF(B283=0,"",COUNTIFS('Extração'!N:N,"Parcialmente",'Extração'!J:J,A283)/B283)</f>
        <v/>
      </c>
      <c r="F283" s="12" t="str">
        <f>IF(B283=0,"",COUNTIFS('Extração'!O:O,"Parcialmente",'Extração'!J:J,A283)/B283)</f>
        <v/>
      </c>
      <c r="G283" s="12" t="str">
        <f>IF(B283=0,"",COUNTIFS('Extração'!N:N,"Não",'Extração'!J:J,A283)/B283)</f>
        <v/>
      </c>
      <c r="H283" s="12" t="str">
        <f>IF(B283=0,"",COUNTIFS('Extração'!O:O,"Não",'Extração'!J:J,A283)/B283)</f>
        <v/>
      </c>
      <c r="I283" s="12" t="str">
        <f>IF(B283=0,"",COUNTIFS('Extração'!P:P,"Igual",'Extração'!J:J,A283)/B283)</f>
        <v/>
      </c>
    </row>
    <row r="284">
      <c r="B284" s="12">
        <f>COUNTIF('Extração'!J:J,A284)</f>
        <v>0</v>
      </c>
      <c r="C284" s="12" t="str">
        <f>IF(B284=0,"",COUNTIFS('Extração'!N:N,"Sim",'Extração'!J:J,A284)/B284)</f>
        <v/>
      </c>
      <c r="D284" s="12" t="str">
        <f>IF(B284=0,"",COUNTIFS('Extração'!O:O,"Sim",'Extração'!J:J,A284)/B284)</f>
        <v/>
      </c>
      <c r="E284" s="12" t="str">
        <f>IF(B284=0,"",COUNTIFS('Extração'!N:N,"Parcialmente",'Extração'!J:J,A284)/B284)</f>
        <v/>
      </c>
      <c r="F284" s="12" t="str">
        <f>IF(B284=0,"",COUNTIFS('Extração'!O:O,"Parcialmente",'Extração'!J:J,A284)/B284)</f>
        <v/>
      </c>
      <c r="G284" s="12" t="str">
        <f>IF(B284=0,"",COUNTIFS('Extração'!N:N,"Não",'Extração'!J:J,A284)/B284)</f>
        <v/>
      </c>
      <c r="H284" s="12" t="str">
        <f>IF(B284=0,"",COUNTIFS('Extração'!O:O,"Não",'Extração'!J:J,A284)/B284)</f>
        <v/>
      </c>
      <c r="I284" s="12" t="str">
        <f>IF(B284=0,"",COUNTIFS('Extração'!P:P,"Igual",'Extração'!J:J,A284)/B284)</f>
        <v/>
      </c>
    </row>
    <row r="285">
      <c r="B285" s="12">
        <f>COUNTIF('Extração'!J:J,A285)</f>
        <v>0</v>
      </c>
      <c r="C285" s="12" t="str">
        <f>IF(B285=0,"",COUNTIFS('Extração'!N:N,"Sim",'Extração'!J:J,A285)/B285)</f>
        <v/>
      </c>
      <c r="D285" s="12" t="str">
        <f>IF(B285=0,"",COUNTIFS('Extração'!O:O,"Sim",'Extração'!J:J,A285)/B285)</f>
        <v/>
      </c>
      <c r="E285" s="12" t="str">
        <f>IF(B285=0,"",COUNTIFS('Extração'!N:N,"Parcialmente",'Extração'!J:J,A285)/B285)</f>
        <v/>
      </c>
      <c r="F285" s="12" t="str">
        <f>IF(B285=0,"",COUNTIFS('Extração'!O:O,"Parcialmente",'Extração'!J:J,A285)/B285)</f>
        <v/>
      </c>
      <c r="G285" s="12" t="str">
        <f>IF(B285=0,"",COUNTIFS('Extração'!N:N,"Não",'Extração'!J:J,A285)/B285)</f>
        <v/>
      </c>
      <c r="H285" s="12" t="str">
        <f>IF(B285=0,"",COUNTIFS('Extração'!O:O,"Não",'Extração'!J:J,A285)/B285)</f>
        <v/>
      </c>
      <c r="I285" s="12" t="str">
        <f>IF(B285=0,"",COUNTIFS('Extração'!P:P,"Igual",'Extração'!J:J,A285)/B285)</f>
        <v/>
      </c>
    </row>
    <row r="286">
      <c r="B286" s="12">
        <f>COUNTIF('Extração'!J:J,A286)</f>
        <v>0</v>
      </c>
      <c r="C286" s="12" t="str">
        <f>IF(B286=0,"",COUNTIFS('Extração'!N:N,"Sim",'Extração'!J:J,A286)/B286)</f>
        <v/>
      </c>
      <c r="D286" s="12" t="str">
        <f>IF(B286=0,"",COUNTIFS('Extração'!O:O,"Sim",'Extração'!J:J,A286)/B286)</f>
        <v/>
      </c>
      <c r="E286" s="12" t="str">
        <f>IF(B286=0,"",COUNTIFS('Extração'!N:N,"Parcialmente",'Extração'!J:J,A286)/B286)</f>
        <v/>
      </c>
      <c r="F286" s="12" t="str">
        <f>IF(B286=0,"",COUNTIFS('Extração'!O:O,"Parcialmente",'Extração'!J:J,A286)/B286)</f>
        <v/>
      </c>
      <c r="G286" s="12" t="str">
        <f>IF(B286=0,"",COUNTIFS('Extração'!N:N,"Não",'Extração'!J:J,A286)/B286)</f>
        <v/>
      </c>
      <c r="H286" s="12" t="str">
        <f>IF(B286=0,"",COUNTIFS('Extração'!O:O,"Não",'Extração'!J:J,A286)/B286)</f>
        <v/>
      </c>
      <c r="I286" s="12" t="str">
        <f>IF(B286=0,"",COUNTIFS('Extração'!P:P,"Igual",'Extração'!J:J,A286)/B286)</f>
        <v/>
      </c>
    </row>
    <row r="287">
      <c r="B287" s="12">
        <f>COUNTIF('Extração'!J:J,A287)</f>
        <v>0</v>
      </c>
      <c r="C287" s="12" t="str">
        <f>IF(B287=0,"",COUNTIFS('Extração'!N:N,"Sim",'Extração'!J:J,A287)/B287)</f>
        <v/>
      </c>
      <c r="D287" s="12" t="str">
        <f>IF(B287=0,"",COUNTIFS('Extração'!O:O,"Sim",'Extração'!J:J,A287)/B287)</f>
        <v/>
      </c>
      <c r="E287" s="12" t="str">
        <f>IF(B287=0,"",COUNTIFS('Extração'!N:N,"Parcialmente",'Extração'!J:J,A287)/B287)</f>
        <v/>
      </c>
      <c r="F287" s="12" t="str">
        <f>IF(B287=0,"",COUNTIFS('Extração'!O:O,"Parcialmente",'Extração'!J:J,A287)/B287)</f>
        <v/>
      </c>
      <c r="G287" s="12" t="str">
        <f>IF(B287=0,"",COUNTIFS('Extração'!N:N,"Não",'Extração'!J:J,A287)/B287)</f>
        <v/>
      </c>
      <c r="H287" s="12" t="str">
        <f>IF(B287=0,"",COUNTIFS('Extração'!O:O,"Não",'Extração'!J:J,A287)/B287)</f>
        <v/>
      </c>
      <c r="I287" s="12" t="str">
        <f>IF(B287=0,"",COUNTIFS('Extração'!P:P,"Igual",'Extração'!J:J,A287)/B287)</f>
        <v/>
      </c>
    </row>
    <row r="288">
      <c r="B288" s="12">
        <f>COUNTIF('Extração'!J:J,A288)</f>
        <v>0</v>
      </c>
      <c r="C288" s="12" t="str">
        <f>IF(B288=0,"",COUNTIFS('Extração'!N:N,"Sim",'Extração'!J:J,A288)/B288)</f>
        <v/>
      </c>
      <c r="D288" s="12" t="str">
        <f>IF(B288=0,"",COUNTIFS('Extração'!O:O,"Sim",'Extração'!J:J,A288)/B288)</f>
        <v/>
      </c>
      <c r="E288" s="12" t="str">
        <f>IF(B288=0,"",COUNTIFS('Extração'!N:N,"Parcialmente",'Extração'!J:J,A288)/B288)</f>
        <v/>
      </c>
      <c r="F288" s="12" t="str">
        <f>IF(B288=0,"",COUNTIFS('Extração'!O:O,"Parcialmente",'Extração'!J:J,A288)/B288)</f>
        <v/>
      </c>
      <c r="G288" s="12" t="str">
        <f>IF(B288=0,"",COUNTIFS('Extração'!N:N,"Não",'Extração'!J:J,A288)/B288)</f>
        <v/>
      </c>
      <c r="H288" s="12" t="str">
        <f>IF(B288=0,"",COUNTIFS('Extração'!O:O,"Não",'Extração'!J:J,A288)/B288)</f>
        <v/>
      </c>
      <c r="I288" s="12" t="str">
        <f>IF(B288=0,"",COUNTIFS('Extração'!P:P,"Igual",'Extração'!J:J,A288)/B288)</f>
        <v/>
      </c>
    </row>
    <row r="289">
      <c r="B289" s="12">
        <f>COUNTIF('Extração'!J:J,A289)</f>
        <v>0</v>
      </c>
      <c r="C289" s="12" t="str">
        <f>IF(B289=0,"",COUNTIFS('Extração'!N:N,"Sim",'Extração'!J:J,A289)/B289)</f>
        <v/>
      </c>
      <c r="D289" s="12" t="str">
        <f>IF(B289=0,"",COUNTIFS('Extração'!O:O,"Sim",'Extração'!J:J,A289)/B289)</f>
        <v/>
      </c>
      <c r="E289" s="12" t="str">
        <f>IF(B289=0,"",COUNTIFS('Extração'!N:N,"Parcialmente",'Extração'!J:J,A289)/B289)</f>
        <v/>
      </c>
      <c r="F289" s="12" t="str">
        <f>IF(B289=0,"",COUNTIFS('Extração'!O:O,"Parcialmente",'Extração'!J:J,A289)/B289)</f>
        <v/>
      </c>
      <c r="G289" s="12" t="str">
        <f>IF(B289=0,"",COUNTIFS('Extração'!N:N,"Não",'Extração'!J:J,A289)/B289)</f>
        <v/>
      </c>
      <c r="H289" s="12" t="str">
        <f>IF(B289=0,"",COUNTIFS('Extração'!O:O,"Não",'Extração'!J:J,A289)/B289)</f>
        <v/>
      </c>
      <c r="I289" s="12" t="str">
        <f>IF(B289=0,"",COUNTIFS('Extração'!P:P,"Igual",'Extração'!J:J,A289)/B289)</f>
        <v/>
      </c>
    </row>
    <row r="290">
      <c r="B290" s="12">
        <f>COUNTIF('Extração'!J:J,A290)</f>
        <v>0</v>
      </c>
      <c r="C290" s="12" t="str">
        <f>IF(B290=0,"",COUNTIFS('Extração'!N:N,"Sim",'Extração'!J:J,A290)/B290)</f>
        <v/>
      </c>
      <c r="D290" s="12" t="str">
        <f>IF(B290=0,"",COUNTIFS('Extração'!O:O,"Sim",'Extração'!J:J,A290)/B290)</f>
        <v/>
      </c>
      <c r="E290" s="12" t="str">
        <f>IF(B290=0,"",COUNTIFS('Extração'!N:N,"Parcialmente",'Extração'!J:J,A290)/B290)</f>
        <v/>
      </c>
      <c r="F290" s="12" t="str">
        <f>IF(B290=0,"",COUNTIFS('Extração'!O:O,"Parcialmente",'Extração'!J:J,A290)/B290)</f>
        <v/>
      </c>
      <c r="G290" s="12" t="str">
        <f>IF(B290=0,"",COUNTIFS('Extração'!N:N,"Não",'Extração'!J:J,A290)/B290)</f>
        <v/>
      </c>
      <c r="H290" s="12" t="str">
        <f>IF(B290=0,"",COUNTIFS('Extração'!O:O,"Não",'Extração'!J:J,A290)/B290)</f>
        <v/>
      </c>
      <c r="I290" s="12" t="str">
        <f>IF(B290=0,"",COUNTIFS('Extração'!P:P,"Igual",'Extração'!J:J,A290)/B290)</f>
        <v/>
      </c>
    </row>
    <row r="291">
      <c r="B291" s="12">
        <f>COUNTIF('Extração'!J:J,A291)</f>
        <v>0</v>
      </c>
      <c r="C291" s="12" t="str">
        <f>IF(B291=0,"",COUNTIFS('Extração'!N:N,"Sim",'Extração'!J:J,A291)/B291)</f>
        <v/>
      </c>
      <c r="D291" s="12" t="str">
        <f>IF(B291=0,"",COUNTIFS('Extração'!O:O,"Sim",'Extração'!J:J,A291)/B291)</f>
        <v/>
      </c>
      <c r="E291" s="12" t="str">
        <f>IF(B291=0,"",COUNTIFS('Extração'!N:N,"Parcialmente",'Extração'!J:J,A291)/B291)</f>
        <v/>
      </c>
      <c r="F291" s="12" t="str">
        <f>IF(B291=0,"",COUNTIFS('Extração'!O:O,"Parcialmente",'Extração'!J:J,A291)/B291)</f>
        <v/>
      </c>
      <c r="G291" s="12" t="str">
        <f>IF(B291=0,"",COUNTIFS('Extração'!N:N,"Não",'Extração'!J:J,A291)/B291)</f>
        <v/>
      </c>
      <c r="H291" s="12" t="str">
        <f>IF(B291=0,"",COUNTIFS('Extração'!O:O,"Não",'Extração'!J:J,A291)/B291)</f>
        <v/>
      </c>
      <c r="I291" s="12" t="str">
        <f>IF(B291=0,"",COUNTIFS('Extração'!P:P,"Igual",'Extração'!J:J,A291)/B291)</f>
        <v/>
      </c>
    </row>
    <row r="292">
      <c r="B292" s="12">
        <f>COUNTIF('Extração'!J:J,A292)</f>
        <v>0</v>
      </c>
      <c r="C292" s="12" t="str">
        <f>IF(B292=0,"",COUNTIFS('Extração'!N:N,"Sim",'Extração'!J:J,A292)/B292)</f>
        <v/>
      </c>
      <c r="D292" s="12" t="str">
        <f>IF(B292=0,"",COUNTIFS('Extração'!O:O,"Sim",'Extração'!J:J,A292)/B292)</f>
        <v/>
      </c>
      <c r="E292" s="12" t="str">
        <f>IF(B292=0,"",COUNTIFS('Extração'!N:N,"Parcialmente",'Extração'!J:J,A292)/B292)</f>
        <v/>
      </c>
      <c r="F292" s="12" t="str">
        <f>IF(B292=0,"",COUNTIFS('Extração'!O:O,"Parcialmente",'Extração'!J:J,A292)/B292)</f>
        <v/>
      </c>
      <c r="G292" s="12" t="str">
        <f>IF(B292=0,"",COUNTIFS('Extração'!N:N,"Não",'Extração'!J:J,A292)/B292)</f>
        <v/>
      </c>
      <c r="H292" s="12" t="str">
        <f>IF(B292=0,"",COUNTIFS('Extração'!O:O,"Não",'Extração'!J:J,A292)/B292)</f>
        <v/>
      </c>
      <c r="I292" s="12" t="str">
        <f>IF(B292=0,"",COUNTIFS('Extração'!P:P,"Igual",'Extração'!J:J,A292)/B292)</f>
        <v/>
      </c>
    </row>
    <row r="293">
      <c r="B293" s="12">
        <f>COUNTIF('Extração'!J:J,A293)</f>
        <v>0</v>
      </c>
      <c r="C293" s="12" t="str">
        <f>IF(B293=0,"",COUNTIFS('Extração'!N:N,"Sim",'Extração'!J:J,A293)/B293)</f>
        <v/>
      </c>
      <c r="D293" s="12" t="str">
        <f>IF(B293=0,"",COUNTIFS('Extração'!O:O,"Sim",'Extração'!J:J,A293)/B293)</f>
        <v/>
      </c>
      <c r="E293" s="12" t="str">
        <f>IF(B293=0,"",COUNTIFS('Extração'!N:N,"Parcialmente",'Extração'!J:J,A293)/B293)</f>
        <v/>
      </c>
      <c r="F293" s="12" t="str">
        <f>IF(B293=0,"",COUNTIFS('Extração'!O:O,"Parcialmente",'Extração'!J:J,A293)/B293)</f>
        <v/>
      </c>
      <c r="G293" s="12" t="str">
        <f>IF(B293=0,"",COUNTIFS('Extração'!N:N,"Não",'Extração'!J:J,A293)/B293)</f>
        <v/>
      </c>
      <c r="H293" s="12" t="str">
        <f>IF(B293=0,"",COUNTIFS('Extração'!O:O,"Não",'Extração'!J:J,A293)/B293)</f>
        <v/>
      </c>
      <c r="I293" s="12" t="str">
        <f>IF(B293=0,"",COUNTIFS('Extração'!P:P,"Igual",'Extração'!J:J,A293)/B293)</f>
        <v/>
      </c>
    </row>
    <row r="294">
      <c r="B294" s="12">
        <f>COUNTIF('Extração'!J:J,A294)</f>
        <v>0</v>
      </c>
      <c r="C294" s="12" t="str">
        <f>IF(B294=0,"",COUNTIFS('Extração'!N:N,"Sim",'Extração'!J:J,A294)/B294)</f>
        <v/>
      </c>
      <c r="D294" s="12" t="str">
        <f>IF(B294=0,"",COUNTIFS('Extração'!O:O,"Sim",'Extração'!J:J,A294)/B294)</f>
        <v/>
      </c>
      <c r="E294" s="12" t="str">
        <f>IF(B294=0,"",COUNTIFS('Extração'!N:N,"Parcialmente",'Extração'!J:J,A294)/B294)</f>
        <v/>
      </c>
      <c r="F294" s="12" t="str">
        <f>IF(B294=0,"",COUNTIFS('Extração'!O:O,"Parcialmente",'Extração'!J:J,A294)/B294)</f>
        <v/>
      </c>
      <c r="G294" s="12" t="str">
        <f>IF(B294=0,"",COUNTIFS('Extração'!N:N,"Não",'Extração'!J:J,A294)/B294)</f>
        <v/>
      </c>
      <c r="H294" s="12" t="str">
        <f>IF(B294=0,"",COUNTIFS('Extração'!O:O,"Não",'Extração'!J:J,A294)/B294)</f>
        <v/>
      </c>
      <c r="I294" s="12" t="str">
        <f>IF(B294=0,"",COUNTIFS('Extração'!P:P,"Igual",'Extração'!J:J,A294)/B294)</f>
        <v/>
      </c>
    </row>
    <row r="295">
      <c r="B295" s="12">
        <f>COUNTIF('Extração'!J:J,A295)</f>
        <v>0</v>
      </c>
      <c r="C295" s="12" t="str">
        <f>IF(B295=0,"",COUNTIFS('Extração'!N:N,"Sim",'Extração'!J:J,A295)/B295)</f>
        <v/>
      </c>
      <c r="D295" s="12" t="str">
        <f>IF(B295=0,"",COUNTIFS('Extração'!O:O,"Sim",'Extração'!J:J,A295)/B295)</f>
        <v/>
      </c>
      <c r="E295" s="12" t="str">
        <f>IF(B295=0,"",COUNTIFS('Extração'!N:N,"Parcialmente",'Extração'!J:J,A295)/B295)</f>
        <v/>
      </c>
      <c r="F295" s="12" t="str">
        <f>IF(B295=0,"",COUNTIFS('Extração'!O:O,"Parcialmente",'Extração'!J:J,A295)/B295)</f>
        <v/>
      </c>
      <c r="G295" s="12" t="str">
        <f>IF(B295=0,"",COUNTIFS('Extração'!N:N,"Não",'Extração'!J:J,A295)/B295)</f>
        <v/>
      </c>
      <c r="H295" s="12" t="str">
        <f>IF(B295=0,"",COUNTIFS('Extração'!O:O,"Não",'Extração'!J:J,A295)/B295)</f>
        <v/>
      </c>
      <c r="I295" s="12" t="str">
        <f>IF(B295=0,"",COUNTIFS('Extração'!P:P,"Igual",'Extração'!J:J,A295)/B295)</f>
        <v/>
      </c>
    </row>
    <row r="296">
      <c r="B296" s="12">
        <f>COUNTIF('Extração'!J:J,A296)</f>
        <v>0</v>
      </c>
      <c r="C296" s="12" t="str">
        <f>IF(B296=0,"",COUNTIFS('Extração'!N:N,"Sim",'Extração'!J:J,A296)/B296)</f>
        <v/>
      </c>
      <c r="D296" s="12" t="str">
        <f>IF(B296=0,"",COUNTIFS('Extração'!O:O,"Sim",'Extração'!J:J,A296)/B296)</f>
        <v/>
      </c>
      <c r="E296" s="12" t="str">
        <f>IF(B296=0,"",COUNTIFS('Extração'!N:N,"Parcialmente",'Extração'!J:J,A296)/B296)</f>
        <v/>
      </c>
      <c r="F296" s="12" t="str">
        <f>IF(B296=0,"",COUNTIFS('Extração'!O:O,"Parcialmente",'Extração'!J:J,A296)/B296)</f>
        <v/>
      </c>
      <c r="G296" s="12" t="str">
        <f>IF(B296=0,"",COUNTIFS('Extração'!N:N,"Não",'Extração'!J:J,A296)/B296)</f>
        <v/>
      </c>
      <c r="H296" s="12" t="str">
        <f>IF(B296=0,"",COUNTIFS('Extração'!O:O,"Não",'Extração'!J:J,A296)/B296)</f>
        <v/>
      </c>
      <c r="I296" s="12" t="str">
        <f>IF(B296=0,"",COUNTIFS('Extração'!P:P,"Igual",'Extração'!J:J,A296)/B296)</f>
        <v/>
      </c>
    </row>
    <row r="297">
      <c r="B297" s="12">
        <f>COUNTIF('Extração'!J:J,A297)</f>
        <v>0</v>
      </c>
      <c r="C297" s="12" t="str">
        <f>IF(B297=0,"",COUNTIFS('Extração'!N:N,"Sim",'Extração'!J:J,A297)/B297)</f>
        <v/>
      </c>
      <c r="D297" s="12" t="str">
        <f>IF(B297=0,"",COUNTIFS('Extração'!O:O,"Sim",'Extração'!J:J,A297)/B297)</f>
        <v/>
      </c>
      <c r="E297" s="12" t="str">
        <f>IF(B297=0,"",COUNTIFS('Extração'!N:N,"Parcialmente",'Extração'!J:J,A297)/B297)</f>
        <v/>
      </c>
      <c r="F297" s="12" t="str">
        <f>IF(B297=0,"",COUNTIFS('Extração'!O:O,"Parcialmente",'Extração'!J:J,A297)/B297)</f>
        <v/>
      </c>
      <c r="G297" s="12" t="str">
        <f>IF(B297=0,"",COUNTIFS('Extração'!N:N,"Não",'Extração'!J:J,A297)/B297)</f>
        <v/>
      </c>
      <c r="H297" s="12" t="str">
        <f>IF(B297=0,"",COUNTIFS('Extração'!O:O,"Não",'Extração'!J:J,A297)/B297)</f>
        <v/>
      </c>
      <c r="I297" s="12" t="str">
        <f>IF(B297=0,"",COUNTIFS('Extração'!P:P,"Igual",'Extração'!J:J,A297)/B297)</f>
        <v/>
      </c>
    </row>
    <row r="298">
      <c r="B298" s="12">
        <f>COUNTIF('Extração'!J:J,A298)</f>
        <v>0</v>
      </c>
      <c r="C298" s="12" t="str">
        <f>IF(B298=0,"",COUNTIFS('Extração'!N:N,"Sim",'Extração'!J:J,A298)/B298)</f>
        <v/>
      </c>
      <c r="D298" s="12" t="str">
        <f>IF(B298=0,"",COUNTIFS('Extração'!O:O,"Sim",'Extração'!J:J,A298)/B298)</f>
        <v/>
      </c>
      <c r="E298" s="12" t="str">
        <f>IF(B298=0,"",COUNTIFS('Extração'!N:N,"Parcialmente",'Extração'!J:J,A298)/B298)</f>
        <v/>
      </c>
      <c r="F298" s="12" t="str">
        <f>IF(B298=0,"",COUNTIFS('Extração'!O:O,"Parcialmente",'Extração'!J:J,A298)/B298)</f>
        <v/>
      </c>
      <c r="G298" s="12" t="str">
        <f>IF(B298=0,"",COUNTIFS('Extração'!N:N,"Não",'Extração'!J:J,A298)/B298)</f>
        <v/>
      </c>
      <c r="H298" s="12" t="str">
        <f>IF(B298=0,"",COUNTIFS('Extração'!O:O,"Não",'Extração'!J:J,A298)/B298)</f>
        <v/>
      </c>
      <c r="I298" s="12" t="str">
        <f>IF(B298=0,"",COUNTIFS('Extração'!P:P,"Igual",'Extração'!J:J,A298)/B298)</f>
        <v/>
      </c>
    </row>
    <row r="299">
      <c r="B299" s="12">
        <f>COUNTIF('Extração'!J:J,A299)</f>
        <v>0</v>
      </c>
      <c r="C299" s="12" t="str">
        <f>IF(B299=0,"",COUNTIFS('Extração'!N:N,"Sim",'Extração'!J:J,A299)/B299)</f>
        <v/>
      </c>
      <c r="D299" s="12" t="str">
        <f>IF(B299=0,"",COUNTIFS('Extração'!O:O,"Sim",'Extração'!J:J,A299)/B299)</f>
        <v/>
      </c>
      <c r="E299" s="12" t="str">
        <f>IF(B299=0,"",COUNTIFS('Extração'!N:N,"Parcialmente",'Extração'!J:J,A299)/B299)</f>
        <v/>
      </c>
      <c r="F299" s="12" t="str">
        <f>IF(B299=0,"",COUNTIFS('Extração'!O:O,"Parcialmente",'Extração'!J:J,A299)/B299)</f>
        <v/>
      </c>
      <c r="G299" s="12" t="str">
        <f>IF(B299=0,"",COUNTIFS('Extração'!N:N,"Não",'Extração'!J:J,A299)/B299)</f>
        <v/>
      </c>
      <c r="H299" s="12" t="str">
        <f>IF(B299=0,"",COUNTIFS('Extração'!O:O,"Não",'Extração'!J:J,A299)/B299)</f>
        <v/>
      </c>
      <c r="I299" s="12" t="str">
        <f>IF(B299=0,"",COUNTIFS('Extração'!P:P,"Igual",'Extração'!J:J,A299)/B299)</f>
        <v/>
      </c>
    </row>
    <row r="300">
      <c r="B300" s="12">
        <f>COUNTIF('Extração'!J:J,A300)</f>
        <v>0</v>
      </c>
      <c r="C300" s="12" t="str">
        <f>IF(B300=0,"",COUNTIFS('Extração'!N:N,"Sim",'Extração'!J:J,A300)/B300)</f>
        <v/>
      </c>
      <c r="D300" s="12" t="str">
        <f>IF(B300=0,"",COUNTIFS('Extração'!O:O,"Sim",'Extração'!J:J,A300)/B300)</f>
        <v/>
      </c>
      <c r="E300" s="12" t="str">
        <f>IF(B300=0,"",COUNTIFS('Extração'!N:N,"Parcialmente",'Extração'!J:J,A300)/B300)</f>
        <v/>
      </c>
      <c r="F300" s="12" t="str">
        <f>IF(B300=0,"",COUNTIFS('Extração'!O:O,"Parcialmente",'Extração'!J:J,A300)/B300)</f>
        <v/>
      </c>
      <c r="G300" s="12" t="str">
        <f>IF(B300=0,"",COUNTIFS('Extração'!N:N,"Não",'Extração'!J:J,A300)/B300)</f>
        <v/>
      </c>
      <c r="H300" s="12" t="str">
        <f>IF(B300=0,"",COUNTIFS('Extração'!O:O,"Não",'Extração'!J:J,A300)/B300)</f>
        <v/>
      </c>
      <c r="I300" s="12" t="str">
        <f>IF(B300=0,"",COUNTIFS('Extração'!P:P,"Igual",'Extração'!J:J,A300)/B300)</f>
        <v/>
      </c>
    </row>
    <row r="301">
      <c r="B301" s="12">
        <f>COUNTIF('Extração'!J:J,A301)</f>
        <v>0</v>
      </c>
      <c r="C301" s="12" t="str">
        <f>IF(B301=0,"",COUNTIFS('Extração'!N:N,"Sim",'Extração'!J:J,A301)/B301)</f>
        <v/>
      </c>
      <c r="D301" s="12" t="str">
        <f>IF(B301=0,"",COUNTIFS('Extração'!O:O,"Sim",'Extração'!J:J,A301)/B301)</f>
        <v/>
      </c>
      <c r="E301" s="12" t="str">
        <f>IF(B301=0,"",COUNTIFS('Extração'!N:N,"Parcialmente",'Extração'!J:J,A301)/B301)</f>
        <v/>
      </c>
      <c r="F301" s="12" t="str">
        <f>IF(B301=0,"",COUNTIFS('Extração'!O:O,"Parcialmente",'Extração'!J:J,A301)/B301)</f>
        <v/>
      </c>
      <c r="G301" s="12" t="str">
        <f>IF(B301=0,"",COUNTIFS('Extração'!N:N,"Não",'Extração'!J:J,A301)/B301)</f>
        <v/>
      </c>
      <c r="H301" s="12" t="str">
        <f>IF(B301=0,"",COUNTIFS('Extração'!O:O,"Não",'Extração'!J:J,A301)/B301)</f>
        <v/>
      </c>
      <c r="I301" s="12" t="str">
        <f>IF(B301=0,"",COUNTIFS('Extração'!P:P,"Igual",'Extração'!J:J,A301)/B301)</f>
        <v/>
      </c>
    </row>
    <row r="302">
      <c r="B302" s="12">
        <f>COUNTIF('Extração'!J:J,A302)</f>
        <v>0</v>
      </c>
      <c r="C302" s="12" t="str">
        <f>IF(B302=0,"",COUNTIFS('Extração'!N:N,"Sim",'Extração'!J:J,A302)/B302)</f>
        <v/>
      </c>
      <c r="D302" s="12" t="str">
        <f>IF(B302=0,"",COUNTIFS('Extração'!O:O,"Sim",'Extração'!J:J,A302)/B302)</f>
        <v/>
      </c>
      <c r="E302" s="12" t="str">
        <f>IF(B302=0,"",COUNTIFS('Extração'!N:N,"Parcialmente",'Extração'!J:J,A302)/B302)</f>
        <v/>
      </c>
      <c r="F302" s="12" t="str">
        <f>IF(B302=0,"",COUNTIFS('Extração'!O:O,"Parcialmente",'Extração'!J:J,A302)/B302)</f>
        <v/>
      </c>
      <c r="G302" s="12" t="str">
        <f>IF(B302=0,"",COUNTIFS('Extração'!N:N,"Não",'Extração'!J:J,A302)/B302)</f>
        <v/>
      </c>
      <c r="H302" s="12" t="str">
        <f>IF(B302=0,"",COUNTIFS('Extração'!O:O,"Não",'Extração'!J:J,A302)/B302)</f>
        <v/>
      </c>
      <c r="I302" s="12" t="str">
        <f>IF(B302=0,"",COUNTIFS('Extração'!P:P,"Igual",'Extração'!J:J,A302)/B302)</f>
        <v/>
      </c>
    </row>
    <row r="303">
      <c r="B303" s="12">
        <f>COUNTIF('Extração'!J:J,A303)</f>
        <v>0</v>
      </c>
      <c r="C303" s="12" t="str">
        <f>IF(B303=0,"",COUNTIFS('Extração'!N:N,"Sim",'Extração'!J:J,A303)/B303)</f>
        <v/>
      </c>
      <c r="D303" s="12" t="str">
        <f>IF(B303=0,"",COUNTIFS('Extração'!O:O,"Sim",'Extração'!J:J,A303)/B303)</f>
        <v/>
      </c>
      <c r="E303" s="12" t="str">
        <f>IF(B303=0,"",COUNTIFS('Extração'!N:N,"Parcialmente",'Extração'!J:J,A303)/B303)</f>
        <v/>
      </c>
      <c r="F303" s="12" t="str">
        <f>IF(B303=0,"",COUNTIFS('Extração'!O:O,"Parcialmente",'Extração'!J:J,A303)/B303)</f>
        <v/>
      </c>
      <c r="G303" s="12" t="str">
        <f>IF(B303=0,"",COUNTIFS('Extração'!N:N,"Não",'Extração'!J:J,A303)/B303)</f>
        <v/>
      </c>
      <c r="H303" s="12" t="str">
        <f>IF(B303=0,"",COUNTIFS('Extração'!O:O,"Não",'Extração'!J:J,A303)/B303)</f>
        <v/>
      </c>
      <c r="I303" s="12" t="str">
        <f>IF(B303=0,"",COUNTIFS('Extração'!P:P,"Igual",'Extração'!J:J,A303)/B303)</f>
        <v/>
      </c>
    </row>
    <row r="304">
      <c r="B304" s="12">
        <f>COUNTIF('Extração'!J:J,A304)</f>
        <v>0</v>
      </c>
      <c r="C304" s="12" t="str">
        <f>IF(B304=0,"",COUNTIFS('Extração'!N:N,"Sim",'Extração'!J:J,A304)/B304)</f>
        <v/>
      </c>
      <c r="D304" s="12" t="str">
        <f>IF(B304=0,"",COUNTIFS('Extração'!O:O,"Sim",'Extração'!J:J,A304)/B304)</f>
        <v/>
      </c>
      <c r="E304" s="12" t="str">
        <f>IF(B304=0,"",COUNTIFS('Extração'!N:N,"Parcialmente",'Extração'!J:J,A304)/B304)</f>
        <v/>
      </c>
      <c r="F304" s="12" t="str">
        <f>IF(B304=0,"",COUNTIFS('Extração'!O:O,"Parcialmente",'Extração'!J:J,A304)/B304)</f>
        <v/>
      </c>
      <c r="G304" s="12" t="str">
        <f>IF(B304=0,"",COUNTIFS('Extração'!N:N,"Não",'Extração'!J:J,A304)/B304)</f>
        <v/>
      </c>
      <c r="H304" s="12" t="str">
        <f>IF(B304=0,"",COUNTIFS('Extração'!O:O,"Não",'Extração'!J:J,A304)/B304)</f>
        <v/>
      </c>
      <c r="I304" s="12" t="str">
        <f>IF(B304=0,"",COUNTIFS('Extração'!P:P,"Igual",'Extração'!J:J,A304)/B304)</f>
        <v/>
      </c>
    </row>
    <row r="305">
      <c r="B305" s="12">
        <f>COUNTIF('Extração'!J:J,A305)</f>
        <v>0</v>
      </c>
      <c r="C305" s="12" t="str">
        <f>IF(B305=0,"",COUNTIFS('Extração'!N:N,"Sim",'Extração'!J:J,A305)/B305)</f>
        <v/>
      </c>
      <c r="D305" s="12" t="str">
        <f>IF(B305=0,"",COUNTIFS('Extração'!O:O,"Sim",'Extração'!J:J,A305)/B305)</f>
        <v/>
      </c>
      <c r="E305" s="12" t="str">
        <f>IF(B305=0,"",COUNTIFS('Extração'!N:N,"Parcialmente",'Extração'!J:J,A305)/B305)</f>
        <v/>
      </c>
      <c r="F305" s="12" t="str">
        <f>IF(B305=0,"",COUNTIFS('Extração'!O:O,"Parcialmente",'Extração'!J:J,A305)/B305)</f>
        <v/>
      </c>
      <c r="G305" s="12" t="str">
        <f>IF(B305=0,"",COUNTIFS('Extração'!N:N,"Não",'Extração'!J:J,A305)/B305)</f>
        <v/>
      </c>
      <c r="H305" s="12" t="str">
        <f>IF(B305=0,"",COUNTIFS('Extração'!O:O,"Não",'Extração'!J:J,A305)/B305)</f>
        <v/>
      </c>
      <c r="I305" s="12" t="str">
        <f>IF(B305=0,"",COUNTIFS('Extração'!P:P,"Igual",'Extração'!J:J,A305)/B305)</f>
        <v/>
      </c>
    </row>
    <row r="306">
      <c r="B306" s="12">
        <f>COUNTIF('Extração'!J:J,A306)</f>
        <v>0</v>
      </c>
      <c r="C306" s="12" t="str">
        <f>IF(B306=0,"",COUNTIFS('Extração'!N:N,"Sim",'Extração'!J:J,A306)/B306)</f>
        <v/>
      </c>
      <c r="D306" s="12" t="str">
        <f>IF(B306=0,"",COUNTIFS('Extração'!O:O,"Sim",'Extração'!J:J,A306)/B306)</f>
        <v/>
      </c>
      <c r="E306" s="12" t="str">
        <f>IF(B306=0,"",COUNTIFS('Extração'!N:N,"Parcialmente",'Extração'!J:J,A306)/B306)</f>
        <v/>
      </c>
      <c r="F306" s="12" t="str">
        <f>IF(B306=0,"",COUNTIFS('Extração'!O:O,"Parcialmente",'Extração'!J:J,A306)/B306)</f>
        <v/>
      </c>
      <c r="G306" s="12" t="str">
        <f>IF(B306=0,"",COUNTIFS('Extração'!N:N,"Não",'Extração'!J:J,A306)/B306)</f>
        <v/>
      </c>
      <c r="H306" s="12" t="str">
        <f>IF(B306=0,"",COUNTIFS('Extração'!O:O,"Não",'Extração'!J:J,A306)/B306)</f>
        <v/>
      </c>
      <c r="I306" s="12" t="str">
        <f>IF(B306=0,"",COUNTIFS('Extração'!P:P,"Igual",'Extração'!J:J,A306)/B306)</f>
        <v/>
      </c>
    </row>
    <row r="307">
      <c r="B307" s="12">
        <f>COUNTIF('Extração'!J:J,A307)</f>
        <v>0</v>
      </c>
      <c r="C307" s="12" t="str">
        <f>IF(B307=0,"",COUNTIFS('Extração'!N:N,"Sim",'Extração'!J:J,A307)/B307)</f>
        <v/>
      </c>
      <c r="D307" s="12" t="str">
        <f>IF(B307=0,"",COUNTIFS('Extração'!O:O,"Sim",'Extração'!J:J,A307)/B307)</f>
        <v/>
      </c>
      <c r="E307" s="12" t="str">
        <f>IF(B307=0,"",COUNTIFS('Extração'!N:N,"Parcialmente",'Extração'!J:J,A307)/B307)</f>
        <v/>
      </c>
      <c r="F307" s="12" t="str">
        <f>IF(B307=0,"",COUNTIFS('Extração'!O:O,"Parcialmente",'Extração'!J:J,A307)/B307)</f>
        <v/>
      </c>
      <c r="G307" s="12" t="str">
        <f>IF(B307=0,"",COUNTIFS('Extração'!N:N,"Não",'Extração'!J:J,A307)/B307)</f>
        <v/>
      </c>
      <c r="H307" s="12" t="str">
        <f>IF(B307=0,"",COUNTIFS('Extração'!O:O,"Não",'Extração'!J:J,A307)/B307)</f>
        <v/>
      </c>
      <c r="I307" s="12" t="str">
        <f>IF(B307=0,"",COUNTIFS('Extração'!P:P,"Igual",'Extração'!J:J,A307)/B307)</f>
        <v/>
      </c>
    </row>
    <row r="308">
      <c r="B308" s="12">
        <f>COUNTIF('Extração'!J:J,A308)</f>
        <v>0</v>
      </c>
      <c r="C308" s="12" t="str">
        <f>IF(B308=0,"",COUNTIFS('Extração'!N:N,"Sim",'Extração'!J:J,A308)/B308)</f>
        <v/>
      </c>
      <c r="D308" s="12" t="str">
        <f>IF(B308=0,"",COUNTIFS('Extração'!O:O,"Sim",'Extração'!J:J,A308)/B308)</f>
        <v/>
      </c>
      <c r="E308" s="12" t="str">
        <f>IF(B308=0,"",COUNTIFS('Extração'!N:N,"Parcialmente",'Extração'!J:J,A308)/B308)</f>
        <v/>
      </c>
      <c r="F308" s="12" t="str">
        <f>IF(B308=0,"",COUNTIFS('Extração'!O:O,"Parcialmente",'Extração'!J:J,A308)/B308)</f>
        <v/>
      </c>
      <c r="G308" s="12" t="str">
        <f>IF(B308=0,"",COUNTIFS('Extração'!N:N,"Não",'Extração'!J:J,A308)/B308)</f>
        <v/>
      </c>
      <c r="H308" s="12" t="str">
        <f>IF(B308=0,"",COUNTIFS('Extração'!O:O,"Não",'Extração'!J:J,A308)/B308)</f>
        <v/>
      </c>
      <c r="I308" s="12" t="str">
        <f>IF(B308=0,"",COUNTIFS('Extração'!P:P,"Igual",'Extração'!J:J,A308)/B308)</f>
        <v/>
      </c>
    </row>
    <row r="309">
      <c r="B309" s="12">
        <f>COUNTIF('Extração'!J:J,A309)</f>
        <v>0</v>
      </c>
      <c r="C309" s="12" t="str">
        <f>IF(B309=0,"",COUNTIFS('Extração'!N:N,"Sim",'Extração'!J:J,A309)/B309)</f>
        <v/>
      </c>
      <c r="D309" s="12" t="str">
        <f>IF(B309=0,"",COUNTIFS('Extração'!O:O,"Sim",'Extração'!J:J,A309)/B309)</f>
        <v/>
      </c>
      <c r="E309" s="12" t="str">
        <f>IF(B309=0,"",COUNTIFS('Extração'!N:N,"Parcialmente",'Extração'!J:J,A309)/B309)</f>
        <v/>
      </c>
      <c r="F309" s="12" t="str">
        <f>IF(B309=0,"",COUNTIFS('Extração'!O:O,"Parcialmente",'Extração'!J:J,A309)/B309)</f>
        <v/>
      </c>
      <c r="G309" s="12" t="str">
        <f>IF(B309=0,"",COUNTIFS('Extração'!N:N,"Não",'Extração'!J:J,A309)/B309)</f>
        <v/>
      </c>
      <c r="H309" s="12" t="str">
        <f>IF(B309=0,"",COUNTIFS('Extração'!O:O,"Não",'Extração'!J:J,A309)/B309)</f>
        <v/>
      </c>
      <c r="I309" s="12" t="str">
        <f>IF(B309=0,"",COUNTIFS('Extração'!P:P,"Igual",'Extração'!J:J,A309)/B309)</f>
        <v/>
      </c>
    </row>
    <row r="310">
      <c r="B310" s="12">
        <f>COUNTIF('Extração'!J:J,A310)</f>
        <v>0</v>
      </c>
      <c r="C310" s="12" t="str">
        <f>IF(B310=0,"",COUNTIFS('Extração'!N:N,"Sim",'Extração'!J:J,A310)/B310)</f>
        <v/>
      </c>
      <c r="D310" s="12" t="str">
        <f>IF(B310=0,"",COUNTIFS('Extração'!O:O,"Sim",'Extração'!J:J,A310)/B310)</f>
        <v/>
      </c>
      <c r="E310" s="12" t="str">
        <f>IF(B310=0,"",COUNTIFS('Extração'!N:N,"Parcialmente",'Extração'!J:J,A310)/B310)</f>
        <v/>
      </c>
      <c r="F310" s="12" t="str">
        <f>IF(B310=0,"",COUNTIFS('Extração'!O:O,"Parcialmente",'Extração'!J:J,A310)/B310)</f>
        <v/>
      </c>
      <c r="G310" s="12" t="str">
        <f>IF(B310=0,"",COUNTIFS('Extração'!N:N,"Não",'Extração'!J:J,A310)/B310)</f>
        <v/>
      </c>
      <c r="H310" s="12" t="str">
        <f>IF(B310=0,"",COUNTIFS('Extração'!O:O,"Não",'Extração'!J:J,A310)/B310)</f>
        <v/>
      </c>
      <c r="I310" s="12" t="str">
        <f>IF(B310=0,"",COUNTIFS('Extração'!P:P,"Igual",'Extração'!J:J,A310)/B310)</f>
        <v/>
      </c>
    </row>
    <row r="311">
      <c r="B311" s="12">
        <f>COUNTIF('Extração'!J:J,A311)</f>
        <v>0</v>
      </c>
      <c r="C311" s="12" t="str">
        <f>IF(B311=0,"",COUNTIFS('Extração'!N:N,"Sim",'Extração'!J:J,A311)/B311)</f>
        <v/>
      </c>
      <c r="D311" s="12" t="str">
        <f>IF(B311=0,"",COUNTIFS('Extração'!O:O,"Sim",'Extração'!J:J,A311)/B311)</f>
        <v/>
      </c>
      <c r="E311" s="12" t="str">
        <f>IF(B311=0,"",COUNTIFS('Extração'!N:N,"Parcialmente",'Extração'!J:J,A311)/B311)</f>
        <v/>
      </c>
      <c r="F311" s="12" t="str">
        <f>IF(B311=0,"",COUNTIFS('Extração'!O:O,"Parcialmente",'Extração'!J:J,A311)/B311)</f>
        <v/>
      </c>
      <c r="G311" s="12" t="str">
        <f>IF(B311=0,"",COUNTIFS('Extração'!N:N,"Não",'Extração'!J:J,A311)/B311)</f>
        <v/>
      </c>
      <c r="H311" s="12" t="str">
        <f>IF(B311=0,"",COUNTIFS('Extração'!O:O,"Não",'Extração'!J:J,A311)/B311)</f>
        <v/>
      </c>
      <c r="I311" s="12" t="str">
        <f>IF(B311=0,"",COUNTIFS('Extração'!P:P,"Igual",'Extração'!J:J,A311)/B311)</f>
        <v/>
      </c>
    </row>
    <row r="312">
      <c r="B312" s="12">
        <f>COUNTIF('Extração'!J:J,A312)</f>
        <v>0</v>
      </c>
      <c r="C312" s="12" t="str">
        <f>IF(B312=0,"",COUNTIFS('Extração'!N:N,"Sim",'Extração'!J:J,A312)/B312)</f>
        <v/>
      </c>
      <c r="D312" s="12" t="str">
        <f>IF(B312=0,"",COUNTIFS('Extração'!O:O,"Sim",'Extração'!J:J,A312)/B312)</f>
        <v/>
      </c>
      <c r="E312" s="12" t="str">
        <f>IF(B312=0,"",COUNTIFS('Extração'!N:N,"Parcialmente",'Extração'!J:J,A312)/B312)</f>
        <v/>
      </c>
      <c r="F312" s="12" t="str">
        <f>IF(B312=0,"",COUNTIFS('Extração'!O:O,"Parcialmente",'Extração'!J:J,A312)/B312)</f>
        <v/>
      </c>
      <c r="G312" s="12" t="str">
        <f>IF(B312=0,"",COUNTIFS('Extração'!N:N,"Não",'Extração'!J:J,A312)/B312)</f>
        <v/>
      </c>
      <c r="H312" s="12" t="str">
        <f>IF(B312=0,"",COUNTIFS('Extração'!O:O,"Não",'Extração'!J:J,A312)/B312)</f>
        <v/>
      </c>
      <c r="I312" s="12" t="str">
        <f>IF(B312=0,"",COUNTIFS('Extração'!P:P,"Igual",'Extração'!J:J,A312)/B312)</f>
        <v/>
      </c>
    </row>
    <row r="313">
      <c r="B313" s="12">
        <f>COUNTIF('Extração'!J:J,A313)</f>
        <v>0</v>
      </c>
      <c r="C313" s="12" t="str">
        <f>IF(B313=0,"",COUNTIFS('Extração'!N:N,"Sim",'Extração'!J:J,A313)/B313)</f>
        <v/>
      </c>
      <c r="D313" s="12" t="str">
        <f>IF(B313=0,"",COUNTIFS('Extração'!O:O,"Sim",'Extração'!J:J,A313)/B313)</f>
        <v/>
      </c>
      <c r="E313" s="12" t="str">
        <f>IF(B313=0,"",COUNTIFS('Extração'!N:N,"Parcialmente",'Extração'!J:J,A313)/B313)</f>
        <v/>
      </c>
      <c r="F313" s="12" t="str">
        <f>IF(B313=0,"",COUNTIFS('Extração'!O:O,"Parcialmente",'Extração'!J:J,A313)/B313)</f>
        <v/>
      </c>
      <c r="G313" s="12" t="str">
        <f>IF(B313=0,"",COUNTIFS('Extração'!N:N,"Não",'Extração'!J:J,A313)/B313)</f>
        <v/>
      </c>
      <c r="H313" s="12" t="str">
        <f>IF(B313=0,"",COUNTIFS('Extração'!O:O,"Não",'Extração'!J:J,A313)/B313)</f>
        <v/>
      </c>
      <c r="I313" s="12" t="str">
        <f>IF(B313=0,"",COUNTIFS('Extração'!P:P,"Igual",'Extração'!J:J,A313)/B313)</f>
        <v/>
      </c>
    </row>
    <row r="314">
      <c r="B314" s="12">
        <f>COUNTIF('Extração'!J:J,A314)</f>
        <v>0</v>
      </c>
      <c r="C314" s="12" t="str">
        <f>IF(B314=0,"",COUNTIFS('Extração'!N:N,"Sim",'Extração'!J:J,A314)/B314)</f>
        <v/>
      </c>
      <c r="D314" s="12" t="str">
        <f>IF(B314=0,"",COUNTIFS('Extração'!O:O,"Sim",'Extração'!J:J,A314)/B314)</f>
        <v/>
      </c>
      <c r="E314" s="12" t="str">
        <f>IF(B314=0,"",COUNTIFS('Extração'!N:N,"Parcialmente",'Extração'!J:J,A314)/B314)</f>
        <v/>
      </c>
      <c r="F314" s="12" t="str">
        <f>IF(B314=0,"",COUNTIFS('Extração'!O:O,"Parcialmente",'Extração'!J:J,A314)/B314)</f>
        <v/>
      </c>
      <c r="G314" s="12" t="str">
        <f>IF(B314=0,"",COUNTIFS('Extração'!N:N,"Não",'Extração'!J:J,A314)/B314)</f>
        <v/>
      </c>
      <c r="H314" s="12" t="str">
        <f>IF(B314=0,"",COUNTIFS('Extração'!O:O,"Não",'Extração'!J:J,A314)/B314)</f>
        <v/>
      </c>
      <c r="I314" s="12" t="str">
        <f>IF(B314=0,"",COUNTIFS('Extração'!P:P,"Igual",'Extração'!J:J,A314)/B314)</f>
        <v/>
      </c>
    </row>
    <row r="315">
      <c r="B315" s="12">
        <f>COUNTIF('Extração'!J:J,A315)</f>
        <v>0</v>
      </c>
      <c r="C315" s="12" t="str">
        <f>IF(B315=0,"",COUNTIFS('Extração'!N:N,"Sim",'Extração'!J:J,A315)/B315)</f>
        <v/>
      </c>
      <c r="D315" s="12" t="str">
        <f>IF(B315=0,"",COUNTIFS('Extração'!O:O,"Sim",'Extração'!J:J,A315)/B315)</f>
        <v/>
      </c>
      <c r="E315" s="12" t="str">
        <f>IF(B315=0,"",COUNTIFS('Extração'!N:N,"Parcialmente",'Extração'!J:J,A315)/B315)</f>
        <v/>
      </c>
      <c r="F315" s="12" t="str">
        <f>IF(B315=0,"",COUNTIFS('Extração'!O:O,"Parcialmente",'Extração'!J:J,A315)/B315)</f>
        <v/>
      </c>
      <c r="G315" s="12" t="str">
        <f>IF(B315=0,"",COUNTIFS('Extração'!N:N,"Não",'Extração'!J:J,A315)/B315)</f>
        <v/>
      </c>
      <c r="H315" s="12" t="str">
        <f>IF(B315=0,"",COUNTIFS('Extração'!O:O,"Não",'Extração'!J:J,A315)/B315)</f>
        <v/>
      </c>
      <c r="I315" s="12" t="str">
        <f>IF(B315=0,"",COUNTIFS('Extração'!P:P,"Igual",'Extração'!J:J,A315)/B315)</f>
        <v/>
      </c>
    </row>
    <row r="316">
      <c r="B316" s="12">
        <f>COUNTIF('Extração'!J:J,A316)</f>
        <v>0</v>
      </c>
      <c r="C316" s="12" t="str">
        <f>IF(B316=0,"",COUNTIFS('Extração'!N:N,"Sim",'Extração'!J:J,A316)/B316)</f>
        <v/>
      </c>
      <c r="D316" s="12" t="str">
        <f>IF(B316=0,"",COUNTIFS('Extração'!O:O,"Sim",'Extração'!J:J,A316)/B316)</f>
        <v/>
      </c>
      <c r="E316" s="12" t="str">
        <f>IF(B316=0,"",COUNTIFS('Extração'!N:N,"Parcialmente",'Extração'!J:J,A316)/B316)</f>
        <v/>
      </c>
      <c r="F316" s="12" t="str">
        <f>IF(B316=0,"",COUNTIFS('Extração'!O:O,"Parcialmente",'Extração'!J:J,A316)/B316)</f>
        <v/>
      </c>
      <c r="G316" s="12" t="str">
        <f>IF(B316=0,"",COUNTIFS('Extração'!N:N,"Não",'Extração'!J:J,A316)/B316)</f>
        <v/>
      </c>
      <c r="H316" s="12" t="str">
        <f>IF(B316=0,"",COUNTIFS('Extração'!O:O,"Não",'Extração'!J:J,A316)/B316)</f>
        <v/>
      </c>
      <c r="I316" s="12" t="str">
        <f>IF(B316=0,"",COUNTIFS('Extração'!P:P,"Igual",'Extração'!J:J,A316)/B316)</f>
        <v/>
      </c>
    </row>
    <row r="317">
      <c r="B317" s="12">
        <f>COUNTIF('Extração'!J:J,A317)</f>
        <v>0</v>
      </c>
      <c r="C317" s="12" t="str">
        <f>IF(B317=0,"",COUNTIFS('Extração'!N:N,"Sim",'Extração'!J:J,A317)/B317)</f>
        <v/>
      </c>
      <c r="D317" s="12" t="str">
        <f>IF(B317=0,"",COUNTIFS('Extração'!O:O,"Sim",'Extração'!J:J,A317)/B317)</f>
        <v/>
      </c>
      <c r="E317" s="12" t="str">
        <f>IF(B317=0,"",COUNTIFS('Extração'!N:N,"Parcialmente",'Extração'!J:J,A317)/B317)</f>
        <v/>
      </c>
      <c r="F317" s="12" t="str">
        <f>IF(B317=0,"",COUNTIFS('Extração'!O:O,"Parcialmente",'Extração'!J:J,A317)/B317)</f>
        <v/>
      </c>
      <c r="G317" s="12" t="str">
        <f>IF(B317=0,"",COUNTIFS('Extração'!N:N,"Não",'Extração'!J:J,A317)/B317)</f>
        <v/>
      </c>
      <c r="H317" s="12" t="str">
        <f>IF(B317=0,"",COUNTIFS('Extração'!O:O,"Não",'Extração'!J:J,A317)/B317)</f>
        <v/>
      </c>
      <c r="I317" s="12" t="str">
        <f>IF(B317=0,"",COUNTIFS('Extração'!P:P,"Igual",'Extração'!J:J,A317)/B317)</f>
        <v/>
      </c>
    </row>
    <row r="318">
      <c r="B318" s="12">
        <f>COUNTIF('Extração'!J:J,A318)</f>
        <v>0</v>
      </c>
      <c r="C318" s="12" t="str">
        <f>IF(B318=0,"",COUNTIFS('Extração'!N:N,"Sim",'Extração'!J:J,A318)/B318)</f>
        <v/>
      </c>
      <c r="D318" s="12" t="str">
        <f>IF(B318=0,"",COUNTIFS('Extração'!O:O,"Sim",'Extração'!J:J,A318)/B318)</f>
        <v/>
      </c>
      <c r="E318" s="12" t="str">
        <f>IF(B318=0,"",COUNTIFS('Extração'!N:N,"Parcialmente",'Extração'!J:J,A318)/B318)</f>
        <v/>
      </c>
      <c r="F318" s="12" t="str">
        <f>IF(B318=0,"",COUNTIFS('Extração'!O:O,"Parcialmente",'Extração'!J:J,A318)/B318)</f>
        <v/>
      </c>
      <c r="G318" s="12" t="str">
        <f>IF(B318=0,"",COUNTIFS('Extração'!N:N,"Não",'Extração'!J:J,A318)/B318)</f>
        <v/>
      </c>
      <c r="H318" s="12" t="str">
        <f>IF(B318=0,"",COUNTIFS('Extração'!O:O,"Não",'Extração'!J:J,A318)/B318)</f>
        <v/>
      </c>
      <c r="I318" s="12" t="str">
        <f>IF(B318=0,"",COUNTIFS('Extração'!P:P,"Igual",'Extração'!J:J,A318)/B318)</f>
        <v/>
      </c>
    </row>
    <row r="319">
      <c r="B319" s="12">
        <f>COUNTIF('Extração'!J:J,A319)</f>
        <v>0</v>
      </c>
      <c r="C319" s="12" t="str">
        <f>IF(B319=0,"",COUNTIFS('Extração'!N:N,"Sim",'Extração'!J:J,A319)/B319)</f>
        <v/>
      </c>
      <c r="D319" s="12" t="str">
        <f>IF(B319=0,"",COUNTIFS('Extração'!O:O,"Sim",'Extração'!J:J,A319)/B319)</f>
        <v/>
      </c>
      <c r="E319" s="12" t="str">
        <f>IF(B319=0,"",COUNTIFS('Extração'!N:N,"Parcialmente",'Extração'!J:J,A319)/B319)</f>
        <v/>
      </c>
      <c r="F319" s="12" t="str">
        <f>IF(B319=0,"",COUNTIFS('Extração'!O:O,"Parcialmente",'Extração'!J:J,A319)/B319)</f>
        <v/>
      </c>
      <c r="G319" s="12" t="str">
        <f>IF(B319=0,"",COUNTIFS('Extração'!N:N,"Não",'Extração'!J:J,A319)/B319)</f>
        <v/>
      </c>
      <c r="H319" s="12" t="str">
        <f>IF(B319=0,"",COUNTIFS('Extração'!O:O,"Não",'Extração'!J:J,A319)/B319)</f>
        <v/>
      </c>
      <c r="I319" s="12" t="str">
        <f>IF(B319=0,"",COUNTIFS('Extração'!P:P,"Igual",'Extração'!J:J,A319)/B319)</f>
        <v/>
      </c>
    </row>
    <row r="320">
      <c r="B320" s="12">
        <f>COUNTIF('Extração'!J:J,A320)</f>
        <v>0</v>
      </c>
      <c r="C320" s="12" t="str">
        <f>IF(B320=0,"",COUNTIFS('Extração'!N:N,"Sim",'Extração'!J:J,A320)/B320)</f>
        <v/>
      </c>
      <c r="D320" s="12" t="str">
        <f>IF(B320=0,"",COUNTIFS('Extração'!O:O,"Sim",'Extração'!J:J,A320)/B320)</f>
        <v/>
      </c>
      <c r="E320" s="12" t="str">
        <f>IF(B320=0,"",COUNTIFS('Extração'!N:N,"Parcialmente",'Extração'!J:J,A320)/B320)</f>
        <v/>
      </c>
      <c r="F320" s="12" t="str">
        <f>IF(B320=0,"",COUNTIFS('Extração'!O:O,"Parcialmente",'Extração'!J:J,A320)/B320)</f>
        <v/>
      </c>
      <c r="G320" s="12" t="str">
        <f>IF(B320=0,"",COUNTIFS('Extração'!N:N,"Não",'Extração'!J:J,A320)/B320)</f>
        <v/>
      </c>
      <c r="H320" s="12" t="str">
        <f>IF(B320=0,"",COUNTIFS('Extração'!O:O,"Não",'Extração'!J:J,A320)/B320)</f>
        <v/>
      </c>
      <c r="I320" s="12" t="str">
        <f>IF(B320=0,"",COUNTIFS('Extração'!P:P,"Igual",'Extração'!J:J,A320)/B320)</f>
        <v/>
      </c>
    </row>
    <row r="321">
      <c r="B321" s="12">
        <f>COUNTIF('Extração'!J:J,A321)</f>
        <v>0</v>
      </c>
      <c r="C321" s="12" t="str">
        <f>IF(B321=0,"",COUNTIFS('Extração'!N:N,"Sim",'Extração'!J:J,A321)/B321)</f>
        <v/>
      </c>
      <c r="D321" s="12" t="str">
        <f>IF(B321=0,"",COUNTIFS('Extração'!O:O,"Sim",'Extração'!J:J,A321)/B321)</f>
        <v/>
      </c>
      <c r="E321" s="12" t="str">
        <f>IF(B321=0,"",COUNTIFS('Extração'!N:N,"Parcialmente",'Extração'!J:J,A321)/B321)</f>
        <v/>
      </c>
      <c r="F321" s="12" t="str">
        <f>IF(B321=0,"",COUNTIFS('Extração'!O:O,"Parcialmente",'Extração'!J:J,A321)/B321)</f>
        <v/>
      </c>
      <c r="G321" s="12" t="str">
        <f>IF(B321=0,"",COUNTIFS('Extração'!N:N,"Não",'Extração'!J:J,A321)/B321)</f>
        <v/>
      </c>
      <c r="H321" s="12" t="str">
        <f>IF(B321=0,"",COUNTIFS('Extração'!O:O,"Não",'Extração'!J:J,A321)/B321)</f>
        <v/>
      </c>
      <c r="I321" s="12" t="str">
        <f>IF(B321=0,"",COUNTIFS('Extração'!P:P,"Igual",'Extração'!J:J,A321)/B321)</f>
        <v/>
      </c>
    </row>
    <row r="322">
      <c r="B322" s="12">
        <f>COUNTIF('Extração'!J:J,A322)</f>
        <v>0</v>
      </c>
      <c r="C322" s="12" t="str">
        <f>IF(B322=0,"",COUNTIFS('Extração'!N:N,"Sim",'Extração'!J:J,A322)/B322)</f>
        <v/>
      </c>
      <c r="D322" s="12" t="str">
        <f>IF(B322=0,"",COUNTIFS('Extração'!O:O,"Sim",'Extração'!J:J,A322)/B322)</f>
        <v/>
      </c>
      <c r="E322" s="12" t="str">
        <f>IF(B322=0,"",COUNTIFS('Extração'!N:N,"Parcialmente",'Extração'!J:J,A322)/B322)</f>
        <v/>
      </c>
      <c r="F322" s="12" t="str">
        <f>IF(B322=0,"",COUNTIFS('Extração'!O:O,"Parcialmente",'Extração'!J:J,A322)/B322)</f>
        <v/>
      </c>
      <c r="G322" s="12" t="str">
        <f>IF(B322=0,"",COUNTIFS('Extração'!N:N,"Não",'Extração'!J:J,A322)/B322)</f>
        <v/>
      </c>
      <c r="H322" s="12" t="str">
        <f>IF(B322=0,"",COUNTIFS('Extração'!O:O,"Não",'Extração'!J:J,A322)/B322)</f>
        <v/>
      </c>
      <c r="I322" s="12" t="str">
        <f>IF(B322=0,"",COUNTIFS('Extração'!P:P,"Igual",'Extração'!J:J,A322)/B322)</f>
        <v/>
      </c>
    </row>
    <row r="323">
      <c r="B323" s="12">
        <f>COUNTIF('Extração'!J:J,A323)</f>
        <v>0</v>
      </c>
      <c r="C323" s="12" t="str">
        <f>IF(B323=0,"",COUNTIFS('Extração'!N:N,"Sim",'Extração'!J:J,A323)/B323)</f>
        <v/>
      </c>
      <c r="D323" s="12" t="str">
        <f>IF(B323=0,"",COUNTIFS('Extração'!O:O,"Sim",'Extração'!J:J,A323)/B323)</f>
        <v/>
      </c>
      <c r="E323" s="12" t="str">
        <f>IF(B323=0,"",COUNTIFS('Extração'!N:N,"Parcialmente",'Extração'!J:J,A323)/B323)</f>
        <v/>
      </c>
      <c r="F323" s="12" t="str">
        <f>IF(B323=0,"",COUNTIFS('Extração'!O:O,"Parcialmente",'Extração'!J:J,A323)/B323)</f>
        <v/>
      </c>
      <c r="G323" s="12" t="str">
        <f>IF(B323=0,"",COUNTIFS('Extração'!N:N,"Não",'Extração'!J:J,A323)/B323)</f>
        <v/>
      </c>
      <c r="H323" s="12" t="str">
        <f>IF(B323=0,"",COUNTIFS('Extração'!O:O,"Não",'Extração'!J:J,A323)/B323)</f>
        <v/>
      </c>
      <c r="I323" s="12" t="str">
        <f>IF(B323=0,"",COUNTIFS('Extração'!P:P,"Igual",'Extração'!J:J,A323)/B323)</f>
        <v/>
      </c>
    </row>
    <row r="324">
      <c r="B324" s="12">
        <f>COUNTIF('Extração'!J:J,A324)</f>
        <v>0</v>
      </c>
      <c r="C324" s="12" t="str">
        <f>IF(B324=0,"",COUNTIFS('Extração'!N:N,"Sim",'Extração'!J:J,A324)/B324)</f>
        <v/>
      </c>
      <c r="D324" s="12" t="str">
        <f>IF(B324=0,"",COUNTIFS('Extração'!O:O,"Sim",'Extração'!J:J,A324)/B324)</f>
        <v/>
      </c>
      <c r="E324" s="12" t="str">
        <f>IF(B324=0,"",COUNTIFS('Extração'!N:N,"Parcialmente",'Extração'!J:J,A324)/B324)</f>
        <v/>
      </c>
      <c r="F324" s="12" t="str">
        <f>IF(B324=0,"",COUNTIFS('Extração'!O:O,"Parcialmente",'Extração'!J:J,A324)/B324)</f>
        <v/>
      </c>
      <c r="G324" s="12" t="str">
        <f>IF(B324=0,"",COUNTIFS('Extração'!N:N,"Não",'Extração'!J:J,A324)/B324)</f>
        <v/>
      </c>
      <c r="H324" s="12" t="str">
        <f>IF(B324=0,"",COUNTIFS('Extração'!O:O,"Não",'Extração'!J:J,A324)/B324)</f>
        <v/>
      </c>
      <c r="I324" s="12" t="str">
        <f>IF(B324=0,"",COUNTIFS('Extração'!P:P,"Igual",'Extração'!J:J,A324)/B324)</f>
        <v/>
      </c>
    </row>
    <row r="325">
      <c r="B325" s="12">
        <f>COUNTIF('Extração'!J:J,A325)</f>
        <v>0</v>
      </c>
      <c r="C325" s="12" t="str">
        <f>IF(B325=0,"",COUNTIFS('Extração'!N:N,"Sim",'Extração'!J:J,A325)/B325)</f>
        <v/>
      </c>
      <c r="D325" s="12" t="str">
        <f>IF(B325=0,"",COUNTIFS('Extração'!O:O,"Sim",'Extração'!J:J,A325)/B325)</f>
        <v/>
      </c>
      <c r="E325" s="12" t="str">
        <f>IF(B325=0,"",COUNTIFS('Extração'!N:N,"Parcialmente",'Extração'!J:J,A325)/B325)</f>
        <v/>
      </c>
      <c r="F325" s="12" t="str">
        <f>IF(B325=0,"",COUNTIFS('Extração'!O:O,"Parcialmente",'Extração'!J:J,A325)/B325)</f>
        <v/>
      </c>
      <c r="G325" s="12" t="str">
        <f>IF(B325=0,"",COUNTIFS('Extração'!N:N,"Não",'Extração'!J:J,A325)/B325)</f>
        <v/>
      </c>
      <c r="H325" s="12" t="str">
        <f>IF(B325=0,"",COUNTIFS('Extração'!O:O,"Não",'Extração'!J:J,A325)/B325)</f>
        <v/>
      </c>
      <c r="I325" s="12" t="str">
        <f>IF(B325=0,"",COUNTIFS('Extração'!P:P,"Igual",'Extração'!J:J,A325)/B325)</f>
        <v/>
      </c>
    </row>
    <row r="326">
      <c r="B326" s="12">
        <f>COUNTIF('Extração'!J:J,A326)</f>
        <v>0</v>
      </c>
      <c r="C326" s="12" t="str">
        <f>IF(B326=0,"",COUNTIFS('Extração'!N:N,"Sim",'Extração'!J:J,A326)/B326)</f>
        <v/>
      </c>
      <c r="D326" s="12" t="str">
        <f>IF(B326=0,"",COUNTIFS('Extração'!O:O,"Sim",'Extração'!J:J,A326)/B326)</f>
        <v/>
      </c>
      <c r="E326" s="12" t="str">
        <f>IF(B326=0,"",COUNTIFS('Extração'!N:N,"Parcialmente",'Extração'!J:J,A326)/B326)</f>
        <v/>
      </c>
      <c r="F326" s="12" t="str">
        <f>IF(B326=0,"",COUNTIFS('Extração'!O:O,"Parcialmente",'Extração'!J:J,A326)/B326)</f>
        <v/>
      </c>
      <c r="G326" s="12" t="str">
        <f>IF(B326=0,"",COUNTIFS('Extração'!N:N,"Não",'Extração'!J:J,A326)/B326)</f>
        <v/>
      </c>
      <c r="H326" s="12" t="str">
        <f>IF(B326=0,"",COUNTIFS('Extração'!O:O,"Não",'Extração'!J:J,A326)/B326)</f>
        <v/>
      </c>
      <c r="I326" s="12" t="str">
        <f>IF(B326=0,"",COUNTIFS('Extração'!P:P,"Igual",'Extração'!J:J,A326)/B326)</f>
        <v/>
      </c>
    </row>
    <row r="327">
      <c r="B327" s="12">
        <f>COUNTIF('Extração'!J:J,A327)</f>
        <v>0</v>
      </c>
      <c r="C327" s="12" t="str">
        <f>IF(B327=0,"",COUNTIFS('Extração'!N:N,"Sim",'Extração'!J:J,A327)/B327)</f>
        <v/>
      </c>
      <c r="D327" s="12" t="str">
        <f>IF(B327=0,"",COUNTIFS('Extração'!O:O,"Sim",'Extração'!J:J,A327)/B327)</f>
        <v/>
      </c>
      <c r="E327" s="12" t="str">
        <f>IF(B327=0,"",COUNTIFS('Extração'!N:N,"Parcialmente",'Extração'!J:J,A327)/B327)</f>
        <v/>
      </c>
      <c r="F327" s="12" t="str">
        <f>IF(B327=0,"",COUNTIFS('Extração'!O:O,"Parcialmente",'Extração'!J:J,A327)/B327)</f>
        <v/>
      </c>
      <c r="G327" s="12" t="str">
        <f>IF(B327=0,"",COUNTIFS('Extração'!N:N,"Não",'Extração'!J:J,A327)/B327)</f>
        <v/>
      </c>
      <c r="H327" s="12" t="str">
        <f>IF(B327=0,"",COUNTIFS('Extração'!O:O,"Não",'Extração'!J:J,A327)/B327)</f>
        <v/>
      </c>
      <c r="I327" s="12" t="str">
        <f>IF(B327=0,"",COUNTIFS('Extração'!P:P,"Igual",'Extração'!J:J,A327)/B327)</f>
        <v/>
      </c>
    </row>
    <row r="328">
      <c r="B328" s="12">
        <f>COUNTIF('Extração'!J:J,A328)</f>
        <v>0</v>
      </c>
      <c r="C328" s="12" t="str">
        <f>IF(B328=0,"",COUNTIFS('Extração'!N:N,"Sim",'Extração'!J:J,A328)/B328)</f>
        <v/>
      </c>
      <c r="D328" s="12" t="str">
        <f>IF(B328=0,"",COUNTIFS('Extração'!O:O,"Sim",'Extração'!J:J,A328)/B328)</f>
        <v/>
      </c>
      <c r="E328" s="12" t="str">
        <f>IF(B328=0,"",COUNTIFS('Extração'!N:N,"Parcialmente",'Extração'!J:J,A328)/B328)</f>
        <v/>
      </c>
      <c r="F328" s="12" t="str">
        <f>IF(B328=0,"",COUNTIFS('Extração'!O:O,"Parcialmente",'Extração'!J:J,A328)/B328)</f>
        <v/>
      </c>
      <c r="G328" s="12" t="str">
        <f>IF(B328=0,"",COUNTIFS('Extração'!N:N,"Não",'Extração'!J:J,A328)/B328)</f>
        <v/>
      </c>
      <c r="H328" s="12" t="str">
        <f>IF(B328=0,"",COUNTIFS('Extração'!O:O,"Não",'Extração'!J:J,A328)/B328)</f>
        <v/>
      </c>
      <c r="I328" s="12" t="str">
        <f>IF(B328=0,"",COUNTIFS('Extração'!P:P,"Igual",'Extração'!J:J,A328)/B328)</f>
        <v/>
      </c>
    </row>
    <row r="329">
      <c r="B329" s="12">
        <f>COUNTIF('Extração'!J:J,A329)</f>
        <v>0</v>
      </c>
      <c r="C329" s="12" t="str">
        <f>IF(B329=0,"",COUNTIFS('Extração'!N:N,"Sim",'Extração'!J:J,A329)/B329)</f>
        <v/>
      </c>
      <c r="D329" s="12" t="str">
        <f>IF(B329=0,"",COUNTIFS('Extração'!O:O,"Sim",'Extração'!J:J,A329)/B329)</f>
        <v/>
      </c>
      <c r="E329" s="12" t="str">
        <f>IF(B329=0,"",COUNTIFS('Extração'!N:N,"Parcialmente",'Extração'!J:J,A329)/B329)</f>
        <v/>
      </c>
      <c r="F329" s="12" t="str">
        <f>IF(B329=0,"",COUNTIFS('Extração'!O:O,"Parcialmente",'Extração'!J:J,A329)/B329)</f>
        <v/>
      </c>
      <c r="G329" s="12" t="str">
        <f>IF(B329=0,"",COUNTIFS('Extração'!N:N,"Não",'Extração'!J:J,A329)/B329)</f>
        <v/>
      </c>
      <c r="H329" s="12" t="str">
        <f>IF(B329=0,"",COUNTIFS('Extração'!O:O,"Não",'Extração'!J:J,A329)/B329)</f>
        <v/>
      </c>
      <c r="I329" s="12" t="str">
        <f>IF(B329=0,"",COUNTIFS('Extração'!P:P,"Igual",'Extração'!J:J,A329)/B329)</f>
        <v/>
      </c>
    </row>
    <row r="330">
      <c r="B330" s="12">
        <f>COUNTIF('Extração'!J:J,A330)</f>
        <v>0</v>
      </c>
      <c r="C330" s="12" t="str">
        <f>IF(B330=0,"",COUNTIFS('Extração'!N:N,"Sim",'Extração'!J:J,A330)/B330)</f>
        <v/>
      </c>
      <c r="D330" s="12" t="str">
        <f>IF(B330=0,"",COUNTIFS('Extração'!O:O,"Sim",'Extração'!J:J,A330)/B330)</f>
        <v/>
      </c>
      <c r="E330" s="12" t="str">
        <f>IF(B330=0,"",COUNTIFS('Extração'!N:N,"Parcialmente",'Extração'!J:J,A330)/B330)</f>
        <v/>
      </c>
      <c r="F330" s="12" t="str">
        <f>IF(B330=0,"",COUNTIFS('Extração'!O:O,"Parcialmente",'Extração'!J:J,A330)/B330)</f>
        <v/>
      </c>
      <c r="G330" s="12" t="str">
        <f>IF(B330=0,"",COUNTIFS('Extração'!N:N,"Não",'Extração'!J:J,A330)/B330)</f>
        <v/>
      </c>
      <c r="H330" s="12" t="str">
        <f>IF(B330=0,"",COUNTIFS('Extração'!O:O,"Não",'Extração'!J:J,A330)/B330)</f>
        <v/>
      </c>
      <c r="I330" s="12" t="str">
        <f>IF(B330=0,"",COUNTIFS('Extração'!P:P,"Igual",'Extração'!J:J,A330)/B330)</f>
        <v/>
      </c>
    </row>
    <row r="331">
      <c r="B331" s="12">
        <f>COUNTIF('Extração'!J:J,A331)</f>
        <v>0</v>
      </c>
      <c r="C331" s="12" t="str">
        <f>IF(B331=0,"",COUNTIFS('Extração'!N:N,"Sim",'Extração'!J:J,A331)/B331)</f>
        <v/>
      </c>
      <c r="D331" s="12" t="str">
        <f>IF(B331=0,"",COUNTIFS('Extração'!O:O,"Sim",'Extração'!J:J,A331)/B331)</f>
        <v/>
      </c>
      <c r="E331" s="12" t="str">
        <f>IF(B331=0,"",COUNTIFS('Extração'!N:N,"Parcialmente",'Extração'!J:J,A331)/B331)</f>
        <v/>
      </c>
      <c r="F331" s="12" t="str">
        <f>IF(B331=0,"",COUNTIFS('Extração'!O:O,"Parcialmente",'Extração'!J:J,A331)/B331)</f>
        <v/>
      </c>
      <c r="G331" s="12" t="str">
        <f>IF(B331=0,"",COUNTIFS('Extração'!N:N,"Não",'Extração'!J:J,A331)/B331)</f>
        <v/>
      </c>
      <c r="H331" s="12" t="str">
        <f>IF(B331=0,"",COUNTIFS('Extração'!O:O,"Não",'Extração'!J:J,A331)/B331)</f>
        <v/>
      </c>
      <c r="I331" s="12" t="str">
        <f>IF(B331=0,"",COUNTIFS('Extração'!P:P,"Igual",'Extração'!J:J,A331)/B331)</f>
        <v/>
      </c>
    </row>
    <row r="332">
      <c r="B332" s="12">
        <f>COUNTIF('Extração'!J:J,A332)</f>
        <v>0</v>
      </c>
      <c r="C332" s="12" t="str">
        <f>IF(B332=0,"",COUNTIFS('Extração'!N:N,"Sim",'Extração'!J:J,A332)/B332)</f>
        <v/>
      </c>
      <c r="D332" s="12" t="str">
        <f>IF(B332=0,"",COUNTIFS('Extração'!O:O,"Sim",'Extração'!J:J,A332)/B332)</f>
        <v/>
      </c>
      <c r="E332" s="12" t="str">
        <f>IF(B332=0,"",COUNTIFS('Extração'!N:N,"Parcialmente",'Extração'!J:J,A332)/B332)</f>
        <v/>
      </c>
      <c r="F332" s="12" t="str">
        <f>IF(B332=0,"",COUNTIFS('Extração'!O:O,"Parcialmente",'Extração'!J:J,A332)/B332)</f>
        <v/>
      </c>
      <c r="G332" s="12" t="str">
        <f>IF(B332=0,"",COUNTIFS('Extração'!N:N,"Não",'Extração'!J:J,A332)/B332)</f>
        <v/>
      </c>
      <c r="H332" s="12" t="str">
        <f>IF(B332=0,"",COUNTIFS('Extração'!O:O,"Não",'Extração'!J:J,A332)/B332)</f>
        <v/>
      </c>
      <c r="I332" s="12" t="str">
        <f>IF(B332=0,"",COUNTIFS('Extração'!P:P,"Igual",'Extração'!J:J,A332)/B332)</f>
        <v/>
      </c>
    </row>
    <row r="333">
      <c r="B333" s="12">
        <f>COUNTIF('Extração'!J:J,A333)</f>
        <v>0</v>
      </c>
      <c r="C333" s="12" t="str">
        <f>IF(B333=0,"",COUNTIFS('Extração'!N:N,"Sim",'Extração'!J:J,A333)/B333)</f>
        <v/>
      </c>
      <c r="D333" s="12" t="str">
        <f>IF(B333=0,"",COUNTIFS('Extração'!O:O,"Sim",'Extração'!J:J,A333)/B333)</f>
        <v/>
      </c>
      <c r="E333" s="12" t="str">
        <f>IF(B333=0,"",COUNTIFS('Extração'!N:N,"Parcialmente",'Extração'!J:J,A333)/B333)</f>
        <v/>
      </c>
      <c r="F333" s="12" t="str">
        <f>IF(B333=0,"",COUNTIFS('Extração'!O:O,"Parcialmente",'Extração'!J:J,A333)/B333)</f>
        <v/>
      </c>
      <c r="G333" s="12" t="str">
        <f>IF(B333=0,"",COUNTIFS('Extração'!N:N,"Não",'Extração'!J:J,A333)/B333)</f>
        <v/>
      </c>
      <c r="H333" s="12" t="str">
        <f>IF(B333=0,"",COUNTIFS('Extração'!O:O,"Não",'Extração'!J:J,A333)/B333)</f>
        <v/>
      </c>
      <c r="I333" s="12" t="str">
        <f>IF(B333=0,"",COUNTIFS('Extração'!P:P,"Igual",'Extração'!J:J,A333)/B333)</f>
        <v/>
      </c>
    </row>
    <row r="334">
      <c r="B334" s="12">
        <f>COUNTIF('Extração'!J:J,A334)</f>
        <v>0</v>
      </c>
      <c r="C334" s="12" t="str">
        <f>IF(B334=0,"",COUNTIFS('Extração'!N:N,"Sim",'Extração'!J:J,A334)/B334)</f>
        <v/>
      </c>
      <c r="D334" s="12" t="str">
        <f>IF(B334=0,"",COUNTIFS('Extração'!O:O,"Sim",'Extração'!J:J,A334)/B334)</f>
        <v/>
      </c>
      <c r="E334" s="12" t="str">
        <f>IF(B334=0,"",COUNTIFS('Extração'!N:N,"Parcialmente",'Extração'!J:J,A334)/B334)</f>
        <v/>
      </c>
      <c r="F334" s="12" t="str">
        <f>IF(B334=0,"",COUNTIFS('Extração'!O:O,"Parcialmente",'Extração'!J:J,A334)/B334)</f>
        <v/>
      </c>
      <c r="G334" s="12" t="str">
        <f>IF(B334=0,"",COUNTIFS('Extração'!N:N,"Não",'Extração'!J:J,A334)/B334)</f>
        <v/>
      </c>
      <c r="H334" s="12" t="str">
        <f>IF(B334=0,"",COUNTIFS('Extração'!O:O,"Não",'Extração'!J:J,A334)/B334)</f>
        <v/>
      </c>
      <c r="I334" s="12" t="str">
        <f>IF(B334=0,"",COUNTIFS('Extração'!P:P,"Igual",'Extração'!J:J,A334)/B334)</f>
        <v/>
      </c>
    </row>
    <row r="335">
      <c r="B335" s="12">
        <f>COUNTIF('Extração'!J:J,A335)</f>
        <v>0</v>
      </c>
      <c r="C335" s="12" t="str">
        <f>IF(B335=0,"",COUNTIFS('Extração'!N:N,"Sim",'Extração'!J:J,A335)/B335)</f>
        <v/>
      </c>
      <c r="D335" s="12" t="str">
        <f>IF(B335=0,"",COUNTIFS('Extração'!O:O,"Sim",'Extração'!J:J,A335)/B335)</f>
        <v/>
      </c>
      <c r="E335" s="12" t="str">
        <f>IF(B335=0,"",COUNTIFS('Extração'!N:N,"Parcialmente",'Extração'!J:J,A335)/B335)</f>
        <v/>
      </c>
      <c r="F335" s="12" t="str">
        <f>IF(B335=0,"",COUNTIFS('Extração'!O:O,"Parcialmente",'Extração'!J:J,A335)/B335)</f>
        <v/>
      </c>
      <c r="G335" s="12" t="str">
        <f>IF(B335=0,"",COUNTIFS('Extração'!N:N,"Não",'Extração'!J:J,A335)/B335)</f>
        <v/>
      </c>
      <c r="H335" s="12" t="str">
        <f>IF(B335=0,"",COUNTIFS('Extração'!O:O,"Não",'Extração'!J:J,A335)/B335)</f>
        <v/>
      </c>
      <c r="I335" s="12" t="str">
        <f>IF(B335=0,"",COUNTIFS('Extração'!P:P,"Igual",'Extração'!J:J,A335)/B335)</f>
        <v/>
      </c>
    </row>
    <row r="336">
      <c r="B336" s="12">
        <f>COUNTIF('Extração'!J:J,A336)</f>
        <v>0</v>
      </c>
      <c r="C336" s="12" t="str">
        <f>IF(B336=0,"",COUNTIFS('Extração'!N:N,"Sim",'Extração'!J:J,A336)/B336)</f>
        <v/>
      </c>
      <c r="D336" s="12" t="str">
        <f>IF(B336=0,"",COUNTIFS('Extração'!O:O,"Sim",'Extração'!J:J,A336)/B336)</f>
        <v/>
      </c>
      <c r="E336" s="12" t="str">
        <f>IF(B336=0,"",COUNTIFS('Extração'!N:N,"Parcialmente",'Extração'!J:J,A336)/B336)</f>
        <v/>
      </c>
      <c r="F336" s="12" t="str">
        <f>IF(B336=0,"",COUNTIFS('Extração'!O:O,"Parcialmente",'Extração'!J:J,A336)/B336)</f>
        <v/>
      </c>
      <c r="G336" s="12" t="str">
        <f>IF(B336=0,"",COUNTIFS('Extração'!N:N,"Não",'Extração'!J:J,A336)/B336)</f>
        <v/>
      </c>
      <c r="H336" s="12" t="str">
        <f>IF(B336=0,"",COUNTIFS('Extração'!O:O,"Não",'Extração'!J:J,A336)/B336)</f>
        <v/>
      </c>
      <c r="I336" s="12" t="str">
        <f>IF(B336=0,"",COUNTIFS('Extração'!P:P,"Igual",'Extração'!J:J,A336)/B336)</f>
        <v/>
      </c>
    </row>
    <row r="337">
      <c r="B337" s="12">
        <f>COUNTIF('Extração'!J:J,A337)</f>
        <v>0</v>
      </c>
      <c r="C337" s="12" t="str">
        <f>IF(B337=0,"",COUNTIFS('Extração'!N:N,"Sim",'Extração'!J:J,A337)/B337)</f>
        <v/>
      </c>
      <c r="D337" s="12" t="str">
        <f>IF(B337=0,"",COUNTIFS('Extração'!O:O,"Sim",'Extração'!J:J,A337)/B337)</f>
        <v/>
      </c>
      <c r="E337" s="12" t="str">
        <f>IF(B337=0,"",COUNTIFS('Extração'!N:N,"Parcialmente",'Extração'!J:J,A337)/B337)</f>
        <v/>
      </c>
      <c r="F337" s="12" t="str">
        <f>IF(B337=0,"",COUNTIFS('Extração'!O:O,"Parcialmente",'Extração'!J:J,A337)/B337)</f>
        <v/>
      </c>
      <c r="G337" s="12" t="str">
        <f>IF(B337=0,"",COUNTIFS('Extração'!N:N,"Não",'Extração'!J:J,A337)/B337)</f>
        <v/>
      </c>
      <c r="H337" s="12" t="str">
        <f>IF(B337=0,"",COUNTIFS('Extração'!O:O,"Não",'Extração'!J:J,A337)/B337)</f>
        <v/>
      </c>
      <c r="I337" s="12" t="str">
        <f>IF(B337=0,"",COUNTIFS('Extração'!P:P,"Igual",'Extração'!J:J,A337)/B337)</f>
        <v/>
      </c>
    </row>
    <row r="338">
      <c r="B338" s="12">
        <f>COUNTIF('Extração'!J:J,A338)</f>
        <v>0</v>
      </c>
      <c r="C338" s="12" t="str">
        <f>IF(B338=0,"",COUNTIFS('Extração'!N:N,"Sim",'Extração'!J:J,A338)/B338)</f>
        <v/>
      </c>
      <c r="D338" s="12" t="str">
        <f>IF(B338=0,"",COUNTIFS('Extração'!O:O,"Sim",'Extração'!J:J,A338)/B338)</f>
        <v/>
      </c>
      <c r="E338" s="12" t="str">
        <f>IF(B338=0,"",COUNTIFS('Extração'!N:N,"Parcialmente",'Extração'!J:J,A338)/B338)</f>
        <v/>
      </c>
      <c r="F338" s="12" t="str">
        <f>IF(B338=0,"",COUNTIFS('Extração'!O:O,"Parcialmente",'Extração'!J:J,A338)/B338)</f>
        <v/>
      </c>
      <c r="G338" s="12" t="str">
        <f>IF(B338=0,"",COUNTIFS('Extração'!N:N,"Não",'Extração'!J:J,A338)/B338)</f>
        <v/>
      </c>
      <c r="H338" s="12" t="str">
        <f>IF(B338=0,"",COUNTIFS('Extração'!O:O,"Não",'Extração'!J:J,A338)/B338)</f>
        <v/>
      </c>
      <c r="I338" s="12" t="str">
        <f>IF(B338=0,"",COUNTIFS('Extração'!P:P,"Igual",'Extração'!J:J,A338)/B338)</f>
        <v/>
      </c>
    </row>
    <row r="339">
      <c r="B339" s="12">
        <f>COUNTIF('Extração'!J:J,A339)</f>
        <v>0</v>
      </c>
      <c r="C339" s="12" t="str">
        <f>IF(B339=0,"",COUNTIFS('Extração'!N:N,"Sim",'Extração'!J:J,A339)/B339)</f>
        <v/>
      </c>
      <c r="D339" s="12" t="str">
        <f>IF(B339=0,"",COUNTIFS('Extração'!O:O,"Sim",'Extração'!J:J,A339)/B339)</f>
        <v/>
      </c>
      <c r="E339" s="12" t="str">
        <f>IF(B339=0,"",COUNTIFS('Extração'!N:N,"Parcialmente",'Extração'!J:J,A339)/B339)</f>
        <v/>
      </c>
      <c r="F339" s="12" t="str">
        <f>IF(B339=0,"",COUNTIFS('Extração'!O:O,"Parcialmente",'Extração'!J:J,A339)/B339)</f>
        <v/>
      </c>
      <c r="G339" s="12" t="str">
        <f>IF(B339=0,"",COUNTIFS('Extração'!N:N,"Não",'Extração'!J:J,A339)/B339)</f>
        <v/>
      </c>
      <c r="H339" s="12" t="str">
        <f>IF(B339=0,"",COUNTIFS('Extração'!O:O,"Não",'Extração'!J:J,A339)/B339)</f>
        <v/>
      </c>
      <c r="I339" s="12" t="str">
        <f>IF(B339=0,"",COUNTIFS('Extração'!P:P,"Igual",'Extração'!J:J,A339)/B339)</f>
        <v/>
      </c>
    </row>
    <row r="340">
      <c r="B340" s="12">
        <f>COUNTIF('Extração'!J:J,A340)</f>
        <v>0</v>
      </c>
      <c r="C340" s="12" t="str">
        <f>IF(B340=0,"",COUNTIFS('Extração'!N:N,"Sim",'Extração'!J:J,A340)/B340)</f>
        <v/>
      </c>
      <c r="D340" s="12" t="str">
        <f>IF(B340=0,"",COUNTIFS('Extração'!O:O,"Sim",'Extração'!J:J,A340)/B340)</f>
        <v/>
      </c>
      <c r="E340" s="12" t="str">
        <f>IF(B340=0,"",COUNTIFS('Extração'!N:N,"Parcialmente",'Extração'!J:J,A340)/B340)</f>
        <v/>
      </c>
      <c r="F340" s="12" t="str">
        <f>IF(B340=0,"",COUNTIFS('Extração'!O:O,"Parcialmente",'Extração'!J:J,A340)/B340)</f>
        <v/>
      </c>
      <c r="G340" s="12" t="str">
        <f>IF(B340=0,"",COUNTIFS('Extração'!N:N,"Não",'Extração'!J:J,A340)/B340)</f>
        <v/>
      </c>
      <c r="H340" s="12" t="str">
        <f>IF(B340=0,"",COUNTIFS('Extração'!O:O,"Não",'Extração'!J:J,A340)/B340)</f>
        <v/>
      </c>
      <c r="I340" s="12" t="str">
        <f>IF(B340=0,"",COUNTIFS('Extração'!P:P,"Igual",'Extração'!J:J,A340)/B340)</f>
        <v/>
      </c>
    </row>
    <row r="341">
      <c r="B341" s="12">
        <f>COUNTIF('Extração'!J:J,A341)</f>
        <v>0</v>
      </c>
      <c r="C341" s="12" t="str">
        <f>IF(B341=0,"",COUNTIFS('Extração'!N:N,"Sim",'Extração'!J:J,A341)/B341)</f>
        <v/>
      </c>
      <c r="D341" s="12" t="str">
        <f>IF(B341=0,"",COUNTIFS('Extração'!O:O,"Sim",'Extração'!J:J,A341)/B341)</f>
        <v/>
      </c>
      <c r="E341" s="12" t="str">
        <f>IF(B341=0,"",COUNTIFS('Extração'!N:N,"Parcialmente",'Extração'!J:J,A341)/B341)</f>
        <v/>
      </c>
      <c r="F341" s="12" t="str">
        <f>IF(B341=0,"",COUNTIFS('Extração'!O:O,"Parcialmente",'Extração'!J:J,A341)/B341)</f>
        <v/>
      </c>
      <c r="G341" s="12" t="str">
        <f>IF(B341=0,"",COUNTIFS('Extração'!N:N,"Não",'Extração'!J:J,A341)/B341)</f>
        <v/>
      </c>
      <c r="H341" s="12" t="str">
        <f>IF(B341=0,"",COUNTIFS('Extração'!O:O,"Não",'Extração'!J:J,A341)/B341)</f>
        <v/>
      </c>
      <c r="I341" s="12" t="str">
        <f>IF(B341=0,"",COUNTIFS('Extração'!P:P,"Igual",'Extração'!J:J,A341)/B341)</f>
        <v/>
      </c>
    </row>
    <row r="342">
      <c r="B342" s="12">
        <f>COUNTIF('Extração'!J:J,A342)</f>
        <v>0</v>
      </c>
      <c r="C342" s="12" t="str">
        <f>IF(B342=0,"",COUNTIFS('Extração'!N:N,"Sim",'Extração'!J:J,A342)/B342)</f>
        <v/>
      </c>
      <c r="D342" s="12" t="str">
        <f>IF(B342=0,"",COUNTIFS('Extração'!O:O,"Sim",'Extração'!J:J,A342)/B342)</f>
        <v/>
      </c>
      <c r="E342" s="12" t="str">
        <f>IF(B342=0,"",COUNTIFS('Extração'!N:N,"Parcialmente",'Extração'!J:J,A342)/B342)</f>
        <v/>
      </c>
      <c r="F342" s="12" t="str">
        <f>IF(B342=0,"",COUNTIFS('Extração'!O:O,"Parcialmente",'Extração'!J:J,A342)/B342)</f>
        <v/>
      </c>
      <c r="G342" s="12" t="str">
        <f>IF(B342=0,"",COUNTIFS('Extração'!N:N,"Não",'Extração'!J:J,A342)/B342)</f>
        <v/>
      </c>
      <c r="H342" s="12" t="str">
        <f>IF(B342=0,"",COUNTIFS('Extração'!O:O,"Não",'Extração'!J:J,A342)/B342)</f>
        <v/>
      </c>
      <c r="I342" s="12" t="str">
        <f>IF(B342=0,"",COUNTIFS('Extração'!P:P,"Igual",'Extração'!J:J,A342)/B342)</f>
        <v/>
      </c>
    </row>
    <row r="343">
      <c r="B343" s="12">
        <f>COUNTIF('Extração'!J:J,A343)</f>
        <v>0</v>
      </c>
      <c r="C343" s="12" t="str">
        <f>IF(B343=0,"",COUNTIFS('Extração'!N:N,"Sim",'Extração'!J:J,A343)/B343)</f>
        <v/>
      </c>
      <c r="D343" s="12" t="str">
        <f>IF(B343=0,"",COUNTIFS('Extração'!O:O,"Sim",'Extração'!J:J,A343)/B343)</f>
        <v/>
      </c>
      <c r="E343" s="12" t="str">
        <f>IF(B343=0,"",COUNTIFS('Extração'!N:N,"Parcialmente",'Extração'!J:J,A343)/B343)</f>
        <v/>
      </c>
      <c r="F343" s="12" t="str">
        <f>IF(B343=0,"",COUNTIFS('Extração'!O:O,"Parcialmente",'Extração'!J:J,A343)/B343)</f>
        <v/>
      </c>
      <c r="G343" s="12" t="str">
        <f>IF(B343=0,"",COUNTIFS('Extração'!N:N,"Não",'Extração'!J:J,A343)/B343)</f>
        <v/>
      </c>
      <c r="H343" s="12" t="str">
        <f>IF(B343=0,"",COUNTIFS('Extração'!O:O,"Não",'Extração'!J:J,A343)/B343)</f>
        <v/>
      </c>
      <c r="I343" s="12" t="str">
        <f>IF(B343=0,"",COUNTIFS('Extração'!P:P,"Igual",'Extração'!J:J,A343)/B343)</f>
        <v/>
      </c>
    </row>
    <row r="344">
      <c r="B344" s="12">
        <f>COUNTIF('Extração'!J:J,A344)</f>
        <v>0</v>
      </c>
      <c r="C344" s="12" t="str">
        <f>IF(B344=0,"",COUNTIFS('Extração'!N:N,"Sim",'Extração'!J:J,A344)/B344)</f>
        <v/>
      </c>
      <c r="D344" s="12" t="str">
        <f>IF(B344=0,"",COUNTIFS('Extração'!O:O,"Sim",'Extração'!J:J,A344)/B344)</f>
        <v/>
      </c>
      <c r="E344" s="12" t="str">
        <f>IF(B344=0,"",COUNTIFS('Extração'!N:N,"Parcialmente",'Extração'!J:J,A344)/B344)</f>
        <v/>
      </c>
      <c r="F344" s="12" t="str">
        <f>IF(B344=0,"",COUNTIFS('Extração'!O:O,"Parcialmente",'Extração'!J:J,A344)/B344)</f>
        <v/>
      </c>
      <c r="G344" s="12" t="str">
        <f>IF(B344=0,"",COUNTIFS('Extração'!N:N,"Não",'Extração'!J:J,A344)/B344)</f>
        <v/>
      </c>
      <c r="H344" s="12" t="str">
        <f>IF(B344=0,"",COUNTIFS('Extração'!O:O,"Não",'Extração'!J:J,A344)/B344)</f>
        <v/>
      </c>
      <c r="I344" s="12" t="str">
        <f>IF(B344=0,"",COUNTIFS('Extração'!P:P,"Igual",'Extração'!J:J,A344)/B344)</f>
        <v/>
      </c>
    </row>
    <row r="345">
      <c r="B345" s="12">
        <f>COUNTIF('Extração'!J:J,A345)</f>
        <v>0</v>
      </c>
      <c r="C345" s="12" t="str">
        <f>IF(B345=0,"",COUNTIFS('Extração'!N:N,"Sim",'Extração'!J:J,A345)/B345)</f>
        <v/>
      </c>
      <c r="D345" s="12" t="str">
        <f>IF(B345=0,"",COUNTIFS('Extração'!O:O,"Sim",'Extração'!J:J,A345)/B345)</f>
        <v/>
      </c>
      <c r="E345" s="12" t="str">
        <f>IF(B345=0,"",COUNTIFS('Extração'!N:N,"Parcialmente",'Extração'!J:J,A345)/B345)</f>
        <v/>
      </c>
      <c r="F345" s="12" t="str">
        <f>IF(B345=0,"",COUNTIFS('Extração'!O:O,"Parcialmente",'Extração'!J:J,A345)/B345)</f>
        <v/>
      </c>
      <c r="G345" s="12" t="str">
        <f>IF(B345=0,"",COUNTIFS('Extração'!N:N,"Não",'Extração'!J:J,A345)/B345)</f>
        <v/>
      </c>
      <c r="H345" s="12" t="str">
        <f>IF(B345=0,"",COUNTIFS('Extração'!O:O,"Não",'Extração'!J:J,A345)/B345)</f>
        <v/>
      </c>
      <c r="I345" s="12" t="str">
        <f>IF(B345=0,"",COUNTIFS('Extração'!P:P,"Igual",'Extração'!J:J,A345)/B345)</f>
        <v/>
      </c>
    </row>
    <row r="346">
      <c r="B346" s="12">
        <f>COUNTIF('Extração'!J:J,A346)</f>
        <v>0</v>
      </c>
      <c r="C346" s="12" t="str">
        <f>IF(B346=0,"",COUNTIFS('Extração'!N:N,"Sim",'Extração'!J:J,A346)/B346)</f>
        <v/>
      </c>
      <c r="D346" s="12" t="str">
        <f>IF(B346=0,"",COUNTIFS('Extração'!O:O,"Sim",'Extração'!J:J,A346)/B346)</f>
        <v/>
      </c>
      <c r="E346" s="12" t="str">
        <f>IF(B346=0,"",COUNTIFS('Extração'!N:N,"Parcialmente",'Extração'!J:J,A346)/B346)</f>
        <v/>
      </c>
      <c r="F346" s="12" t="str">
        <f>IF(B346=0,"",COUNTIFS('Extração'!O:O,"Parcialmente",'Extração'!J:J,A346)/B346)</f>
        <v/>
      </c>
      <c r="G346" s="12" t="str">
        <f>IF(B346=0,"",COUNTIFS('Extração'!N:N,"Não",'Extração'!J:J,A346)/B346)</f>
        <v/>
      </c>
      <c r="H346" s="12" t="str">
        <f>IF(B346=0,"",COUNTIFS('Extração'!O:O,"Não",'Extração'!J:J,A346)/B346)</f>
        <v/>
      </c>
      <c r="I346" s="12" t="str">
        <f>IF(B346=0,"",COUNTIFS('Extração'!P:P,"Igual",'Extração'!J:J,A346)/B346)</f>
        <v/>
      </c>
    </row>
    <row r="347">
      <c r="B347" s="12">
        <f>COUNTIF('Extração'!J:J,A347)</f>
        <v>0</v>
      </c>
      <c r="C347" s="12" t="str">
        <f>IF(B347=0,"",COUNTIFS('Extração'!N:N,"Sim",'Extração'!J:J,A347)/B347)</f>
        <v/>
      </c>
      <c r="D347" s="12" t="str">
        <f>IF(B347=0,"",COUNTIFS('Extração'!O:O,"Sim",'Extração'!J:J,A347)/B347)</f>
        <v/>
      </c>
      <c r="E347" s="12" t="str">
        <f>IF(B347=0,"",COUNTIFS('Extração'!N:N,"Parcialmente",'Extração'!J:J,A347)/B347)</f>
        <v/>
      </c>
      <c r="F347" s="12" t="str">
        <f>IF(B347=0,"",COUNTIFS('Extração'!O:O,"Parcialmente",'Extração'!J:J,A347)/B347)</f>
        <v/>
      </c>
      <c r="G347" s="12" t="str">
        <f>IF(B347=0,"",COUNTIFS('Extração'!N:N,"Não",'Extração'!J:J,A347)/B347)</f>
        <v/>
      </c>
      <c r="H347" s="12" t="str">
        <f>IF(B347=0,"",COUNTIFS('Extração'!O:O,"Não",'Extração'!J:J,A347)/B347)</f>
        <v/>
      </c>
      <c r="I347" s="12" t="str">
        <f>IF(B347=0,"",COUNTIFS('Extração'!P:P,"Igual",'Extração'!J:J,A347)/B347)</f>
        <v/>
      </c>
    </row>
    <row r="348">
      <c r="B348" s="12">
        <f>COUNTIF('Extração'!J:J,A348)</f>
        <v>0</v>
      </c>
      <c r="C348" s="12" t="str">
        <f>IF(B348=0,"",COUNTIFS('Extração'!N:N,"Sim",'Extração'!J:J,A348)/B348)</f>
        <v/>
      </c>
      <c r="D348" s="12" t="str">
        <f>IF(B348=0,"",COUNTIFS('Extração'!O:O,"Sim",'Extração'!J:J,A348)/B348)</f>
        <v/>
      </c>
      <c r="E348" s="12" t="str">
        <f>IF(B348=0,"",COUNTIFS('Extração'!N:N,"Parcialmente",'Extração'!J:J,A348)/B348)</f>
        <v/>
      </c>
      <c r="F348" s="12" t="str">
        <f>IF(B348=0,"",COUNTIFS('Extração'!O:O,"Parcialmente",'Extração'!J:J,A348)/B348)</f>
        <v/>
      </c>
      <c r="G348" s="12" t="str">
        <f>IF(B348=0,"",COUNTIFS('Extração'!N:N,"Não",'Extração'!J:J,A348)/B348)</f>
        <v/>
      </c>
      <c r="H348" s="12" t="str">
        <f>IF(B348=0,"",COUNTIFS('Extração'!O:O,"Não",'Extração'!J:J,A348)/B348)</f>
        <v/>
      </c>
      <c r="I348" s="12" t="str">
        <f>IF(B348=0,"",COUNTIFS('Extração'!P:P,"Igual",'Extração'!J:J,A348)/B348)</f>
        <v/>
      </c>
    </row>
    <row r="349">
      <c r="B349" s="12">
        <f>COUNTIF('Extração'!J:J,A349)</f>
        <v>0</v>
      </c>
      <c r="C349" s="12" t="str">
        <f>IF(B349=0,"",COUNTIFS('Extração'!N:N,"Sim",'Extração'!J:J,A349)/B349)</f>
        <v/>
      </c>
      <c r="D349" s="12" t="str">
        <f>IF(B349=0,"",COUNTIFS('Extração'!O:O,"Sim",'Extração'!J:J,A349)/B349)</f>
        <v/>
      </c>
      <c r="E349" s="12" t="str">
        <f>IF(B349=0,"",COUNTIFS('Extração'!N:N,"Parcialmente",'Extração'!J:J,A349)/B349)</f>
        <v/>
      </c>
      <c r="F349" s="12" t="str">
        <f>IF(B349=0,"",COUNTIFS('Extração'!O:O,"Parcialmente",'Extração'!J:J,A349)/B349)</f>
        <v/>
      </c>
      <c r="G349" s="12" t="str">
        <f>IF(B349=0,"",COUNTIFS('Extração'!N:N,"Não",'Extração'!J:J,A349)/B349)</f>
        <v/>
      </c>
      <c r="H349" s="12" t="str">
        <f>IF(B349=0,"",COUNTIFS('Extração'!O:O,"Não",'Extração'!J:J,A349)/B349)</f>
        <v/>
      </c>
      <c r="I349" s="12" t="str">
        <f>IF(B349=0,"",COUNTIFS('Extração'!P:P,"Igual",'Extração'!J:J,A349)/B349)</f>
        <v/>
      </c>
    </row>
    <row r="350">
      <c r="B350" s="12">
        <f>COUNTIF('Extração'!J:J,A350)</f>
        <v>0</v>
      </c>
      <c r="C350" s="12" t="str">
        <f>IF(B350=0,"",COUNTIFS('Extração'!N:N,"Sim",'Extração'!J:J,A350)/B350)</f>
        <v/>
      </c>
      <c r="D350" s="12" t="str">
        <f>IF(B350=0,"",COUNTIFS('Extração'!O:O,"Sim",'Extração'!J:J,A350)/B350)</f>
        <v/>
      </c>
      <c r="E350" s="12" t="str">
        <f>IF(B350=0,"",COUNTIFS('Extração'!N:N,"Parcialmente",'Extração'!J:J,A350)/B350)</f>
        <v/>
      </c>
      <c r="F350" s="12" t="str">
        <f>IF(B350=0,"",COUNTIFS('Extração'!O:O,"Parcialmente",'Extração'!J:J,A350)/B350)</f>
        <v/>
      </c>
      <c r="G350" s="12" t="str">
        <f>IF(B350=0,"",COUNTIFS('Extração'!N:N,"Não",'Extração'!J:J,A350)/B350)</f>
        <v/>
      </c>
      <c r="H350" s="12" t="str">
        <f>IF(B350=0,"",COUNTIFS('Extração'!O:O,"Não",'Extração'!J:J,A350)/B350)</f>
        <v/>
      </c>
      <c r="I350" s="12" t="str">
        <f>IF(B350=0,"",COUNTIFS('Extração'!P:P,"Igual",'Extração'!J:J,A350)/B350)</f>
        <v/>
      </c>
    </row>
    <row r="351">
      <c r="B351" s="12">
        <f>COUNTIF('Extração'!J:J,A351)</f>
        <v>0</v>
      </c>
      <c r="C351" s="12" t="str">
        <f>IF(B351=0,"",COUNTIFS('Extração'!N:N,"Sim",'Extração'!J:J,A351)/B351)</f>
        <v/>
      </c>
      <c r="D351" s="12" t="str">
        <f>IF(B351=0,"",COUNTIFS('Extração'!O:O,"Sim",'Extração'!J:J,A351)/B351)</f>
        <v/>
      </c>
      <c r="E351" s="12" t="str">
        <f>IF(B351=0,"",COUNTIFS('Extração'!N:N,"Parcialmente",'Extração'!J:J,A351)/B351)</f>
        <v/>
      </c>
      <c r="F351" s="12" t="str">
        <f>IF(B351=0,"",COUNTIFS('Extração'!O:O,"Parcialmente",'Extração'!J:J,A351)/B351)</f>
        <v/>
      </c>
      <c r="G351" s="12" t="str">
        <f>IF(B351=0,"",COUNTIFS('Extração'!N:N,"Não",'Extração'!J:J,A351)/B351)</f>
        <v/>
      </c>
      <c r="H351" s="12" t="str">
        <f>IF(B351=0,"",COUNTIFS('Extração'!O:O,"Não",'Extração'!J:J,A351)/B351)</f>
        <v/>
      </c>
      <c r="I351" s="12" t="str">
        <f>IF(B351=0,"",COUNTIFS('Extração'!P:P,"Igual",'Extração'!J:J,A351)/B351)</f>
        <v/>
      </c>
    </row>
    <row r="352">
      <c r="B352" s="12">
        <f>COUNTIF('Extração'!J:J,A352)</f>
        <v>0</v>
      </c>
      <c r="C352" s="12" t="str">
        <f>IF(B352=0,"",COUNTIFS('Extração'!N:N,"Sim",'Extração'!J:J,A352)/B352)</f>
        <v/>
      </c>
      <c r="D352" s="12" t="str">
        <f>IF(B352=0,"",COUNTIFS('Extração'!O:O,"Sim",'Extração'!J:J,A352)/B352)</f>
        <v/>
      </c>
      <c r="E352" s="12" t="str">
        <f>IF(B352=0,"",COUNTIFS('Extração'!N:N,"Parcialmente",'Extração'!J:J,A352)/B352)</f>
        <v/>
      </c>
      <c r="F352" s="12" t="str">
        <f>IF(B352=0,"",COUNTIFS('Extração'!O:O,"Parcialmente",'Extração'!J:J,A352)/B352)</f>
        <v/>
      </c>
      <c r="G352" s="12" t="str">
        <f>IF(B352=0,"",COUNTIFS('Extração'!N:N,"Não",'Extração'!J:J,A352)/B352)</f>
        <v/>
      </c>
      <c r="H352" s="12" t="str">
        <f>IF(B352=0,"",COUNTIFS('Extração'!O:O,"Não",'Extração'!J:J,A352)/B352)</f>
        <v/>
      </c>
      <c r="I352" s="12" t="str">
        <f>IF(B352=0,"",COUNTIFS('Extração'!P:P,"Igual",'Extração'!J:J,A352)/B352)</f>
        <v/>
      </c>
    </row>
    <row r="353">
      <c r="B353" s="12">
        <f>COUNTIF('Extração'!J:J,A353)</f>
        <v>0</v>
      </c>
      <c r="C353" s="12" t="str">
        <f>IF(B353=0,"",COUNTIFS('Extração'!N:N,"Sim",'Extração'!J:J,A353)/B353)</f>
        <v/>
      </c>
      <c r="D353" s="12" t="str">
        <f>IF(B353=0,"",COUNTIFS('Extração'!O:O,"Sim",'Extração'!J:J,A353)/B353)</f>
        <v/>
      </c>
      <c r="E353" s="12" t="str">
        <f>IF(B353=0,"",COUNTIFS('Extração'!N:N,"Parcialmente",'Extração'!J:J,A353)/B353)</f>
        <v/>
      </c>
      <c r="F353" s="12" t="str">
        <f>IF(B353=0,"",COUNTIFS('Extração'!O:O,"Parcialmente",'Extração'!J:J,A353)/B353)</f>
        <v/>
      </c>
      <c r="G353" s="12" t="str">
        <f>IF(B353=0,"",COUNTIFS('Extração'!N:N,"Não",'Extração'!J:J,A353)/B353)</f>
        <v/>
      </c>
      <c r="H353" s="12" t="str">
        <f>IF(B353=0,"",COUNTIFS('Extração'!O:O,"Não",'Extração'!J:J,A353)/B353)</f>
        <v/>
      </c>
      <c r="I353" s="12" t="str">
        <f>IF(B353=0,"",COUNTIFS('Extração'!P:P,"Igual",'Extração'!J:J,A353)/B353)</f>
        <v/>
      </c>
    </row>
    <row r="354">
      <c r="B354" s="12">
        <f>COUNTIF('Extração'!J:J,A354)</f>
        <v>0</v>
      </c>
      <c r="C354" s="12" t="str">
        <f>IF(B354=0,"",COUNTIFS('Extração'!N:N,"Sim",'Extração'!J:J,A354)/B354)</f>
        <v/>
      </c>
      <c r="D354" s="12" t="str">
        <f>IF(B354=0,"",COUNTIFS('Extração'!O:O,"Sim",'Extração'!J:J,A354)/B354)</f>
        <v/>
      </c>
      <c r="E354" s="12" t="str">
        <f>IF(B354=0,"",COUNTIFS('Extração'!N:N,"Parcialmente",'Extração'!J:J,A354)/B354)</f>
        <v/>
      </c>
      <c r="F354" s="12" t="str">
        <f>IF(B354=0,"",COUNTIFS('Extração'!O:O,"Parcialmente",'Extração'!J:J,A354)/B354)</f>
        <v/>
      </c>
      <c r="G354" s="12" t="str">
        <f>IF(B354=0,"",COUNTIFS('Extração'!N:N,"Não",'Extração'!J:J,A354)/B354)</f>
        <v/>
      </c>
      <c r="H354" s="12" t="str">
        <f>IF(B354=0,"",COUNTIFS('Extração'!O:O,"Não",'Extração'!J:J,A354)/B354)</f>
        <v/>
      </c>
      <c r="I354" s="12" t="str">
        <f>IF(B354=0,"",COUNTIFS('Extração'!P:P,"Igual",'Extração'!J:J,A354)/B354)</f>
        <v/>
      </c>
    </row>
    <row r="355">
      <c r="B355" s="12">
        <f>COUNTIF('Extração'!J:J,A355)</f>
        <v>0</v>
      </c>
      <c r="C355" s="12" t="str">
        <f>IF(B355=0,"",COUNTIFS('Extração'!N:N,"Sim",'Extração'!J:J,A355)/B355)</f>
        <v/>
      </c>
      <c r="D355" s="12" t="str">
        <f>IF(B355=0,"",COUNTIFS('Extração'!O:O,"Sim",'Extração'!J:J,A355)/B355)</f>
        <v/>
      </c>
      <c r="E355" s="12" t="str">
        <f>IF(B355=0,"",COUNTIFS('Extração'!N:N,"Parcialmente",'Extração'!J:J,A355)/B355)</f>
        <v/>
      </c>
      <c r="F355" s="12" t="str">
        <f>IF(B355=0,"",COUNTIFS('Extração'!O:O,"Parcialmente",'Extração'!J:J,A355)/B355)</f>
        <v/>
      </c>
      <c r="G355" s="12" t="str">
        <f>IF(B355=0,"",COUNTIFS('Extração'!N:N,"Não",'Extração'!J:J,A355)/B355)</f>
        <v/>
      </c>
      <c r="H355" s="12" t="str">
        <f>IF(B355=0,"",COUNTIFS('Extração'!O:O,"Não",'Extração'!J:J,A355)/B355)</f>
        <v/>
      </c>
      <c r="I355" s="12" t="str">
        <f>IF(B355=0,"",COUNTIFS('Extração'!P:P,"Igual",'Extração'!J:J,A355)/B355)</f>
        <v/>
      </c>
    </row>
    <row r="356">
      <c r="B356" s="12">
        <f>COUNTIF('Extração'!J:J,A356)</f>
        <v>0</v>
      </c>
      <c r="C356" s="12" t="str">
        <f>IF(B356=0,"",COUNTIFS('Extração'!N:N,"Sim",'Extração'!J:J,A356)/B356)</f>
        <v/>
      </c>
      <c r="D356" s="12" t="str">
        <f>IF(B356=0,"",COUNTIFS('Extração'!O:O,"Sim",'Extração'!J:J,A356)/B356)</f>
        <v/>
      </c>
      <c r="E356" s="12" t="str">
        <f>IF(B356=0,"",COUNTIFS('Extração'!N:N,"Parcialmente",'Extração'!J:J,A356)/B356)</f>
        <v/>
      </c>
      <c r="F356" s="12" t="str">
        <f>IF(B356=0,"",COUNTIFS('Extração'!O:O,"Parcialmente",'Extração'!J:J,A356)/B356)</f>
        <v/>
      </c>
      <c r="G356" s="12" t="str">
        <f>IF(B356=0,"",COUNTIFS('Extração'!N:N,"Não",'Extração'!J:J,A356)/B356)</f>
        <v/>
      </c>
      <c r="H356" s="12" t="str">
        <f>IF(B356=0,"",COUNTIFS('Extração'!O:O,"Não",'Extração'!J:J,A356)/B356)</f>
        <v/>
      </c>
      <c r="I356" s="12" t="str">
        <f>IF(B356=0,"",COUNTIFS('Extração'!P:P,"Igual",'Extração'!J:J,A356)/B356)</f>
        <v/>
      </c>
    </row>
    <row r="357">
      <c r="B357" s="12">
        <f>COUNTIF('Extração'!J:J,A357)</f>
        <v>0</v>
      </c>
      <c r="C357" s="12" t="str">
        <f>IF(B357=0,"",COUNTIFS('Extração'!N:N,"Sim",'Extração'!J:J,A357)/B357)</f>
        <v/>
      </c>
      <c r="D357" s="12" t="str">
        <f>IF(B357=0,"",COUNTIFS('Extração'!O:O,"Sim",'Extração'!J:J,A357)/B357)</f>
        <v/>
      </c>
      <c r="E357" s="12" t="str">
        <f>IF(B357=0,"",COUNTIFS('Extração'!N:N,"Parcialmente",'Extração'!J:J,A357)/B357)</f>
        <v/>
      </c>
      <c r="F357" s="12" t="str">
        <f>IF(B357=0,"",COUNTIFS('Extração'!O:O,"Parcialmente",'Extração'!J:J,A357)/B357)</f>
        <v/>
      </c>
      <c r="G357" s="12" t="str">
        <f>IF(B357=0,"",COUNTIFS('Extração'!N:N,"Não",'Extração'!J:J,A357)/B357)</f>
        <v/>
      </c>
      <c r="H357" s="12" t="str">
        <f>IF(B357=0,"",COUNTIFS('Extração'!O:O,"Não",'Extração'!J:J,A357)/B357)</f>
        <v/>
      </c>
      <c r="I357" s="12" t="str">
        <f>IF(B357=0,"",COUNTIFS('Extração'!P:P,"Igual",'Extração'!J:J,A357)/B357)</f>
        <v/>
      </c>
    </row>
    <row r="358">
      <c r="B358" s="12">
        <f>COUNTIF('Extração'!J:J,A358)</f>
        <v>0</v>
      </c>
      <c r="C358" s="12" t="str">
        <f>IF(B358=0,"",COUNTIFS('Extração'!N:N,"Sim",'Extração'!J:J,A358)/B358)</f>
        <v/>
      </c>
      <c r="D358" s="12" t="str">
        <f>IF(B358=0,"",COUNTIFS('Extração'!O:O,"Sim",'Extração'!J:J,A358)/B358)</f>
        <v/>
      </c>
      <c r="E358" s="12" t="str">
        <f>IF(B358=0,"",COUNTIFS('Extração'!N:N,"Parcialmente",'Extração'!J:J,A358)/B358)</f>
        <v/>
      </c>
      <c r="F358" s="12" t="str">
        <f>IF(B358=0,"",COUNTIFS('Extração'!O:O,"Parcialmente",'Extração'!J:J,A358)/B358)</f>
        <v/>
      </c>
      <c r="G358" s="12" t="str">
        <f>IF(B358=0,"",COUNTIFS('Extração'!N:N,"Não",'Extração'!J:J,A358)/B358)</f>
        <v/>
      </c>
      <c r="H358" s="12" t="str">
        <f>IF(B358=0,"",COUNTIFS('Extração'!O:O,"Não",'Extração'!J:J,A358)/B358)</f>
        <v/>
      </c>
      <c r="I358" s="12" t="str">
        <f>IF(B358=0,"",COUNTIFS('Extração'!P:P,"Igual",'Extração'!J:J,A358)/B358)</f>
        <v/>
      </c>
    </row>
    <row r="359">
      <c r="B359" s="12">
        <f>COUNTIF('Extração'!J:J,A359)</f>
        <v>0</v>
      </c>
      <c r="C359" s="12" t="str">
        <f>IF(B359=0,"",COUNTIFS('Extração'!N:N,"Sim",'Extração'!J:J,A359)/B359)</f>
        <v/>
      </c>
      <c r="D359" s="12" t="str">
        <f>IF(B359=0,"",COUNTIFS('Extração'!O:O,"Sim",'Extração'!J:J,A359)/B359)</f>
        <v/>
      </c>
      <c r="E359" s="12" t="str">
        <f>IF(B359=0,"",COUNTIFS('Extração'!N:N,"Parcialmente",'Extração'!J:J,A359)/B359)</f>
        <v/>
      </c>
      <c r="F359" s="12" t="str">
        <f>IF(B359=0,"",COUNTIFS('Extração'!O:O,"Parcialmente",'Extração'!J:J,A359)/B359)</f>
        <v/>
      </c>
      <c r="G359" s="12" t="str">
        <f>IF(B359=0,"",COUNTIFS('Extração'!N:N,"Não",'Extração'!J:J,A359)/B359)</f>
        <v/>
      </c>
      <c r="H359" s="12" t="str">
        <f>IF(B359=0,"",COUNTIFS('Extração'!O:O,"Não",'Extração'!J:J,A359)/B359)</f>
        <v/>
      </c>
      <c r="I359" s="12" t="str">
        <f>IF(B359=0,"",COUNTIFS('Extração'!P:P,"Igual",'Extração'!J:J,A359)/B359)</f>
        <v/>
      </c>
    </row>
    <row r="360">
      <c r="B360" s="12">
        <f>COUNTIF('Extração'!J:J,A360)</f>
        <v>0</v>
      </c>
      <c r="C360" s="12" t="str">
        <f>IF(B360=0,"",COUNTIFS('Extração'!N:N,"Sim",'Extração'!J:J,A360)/B360)</f>
        <v/>
      </c>
      <c r="D360" s="12" t="str">
        <f>IF(B360=0,"",COUNTIFS('Extração'!O:O,"Sim",'Extração'!J:J,A360)/B360)</f>
        <v/>
      </c>
      <c r="E360" s="12" t="str">
        <f>IF(B360=0,"",COUNTIFS('Extração'!N:N,"Parcialmente",'Extração'!J:J,A360)/B360)</f>
        <v/>
      </c>
      <c r="F360" s="12" t="str">
        <f>IF(B360=0,"",COUNTIFS('Extração'!O:O,"Parcialmente",'Extração'!J:J,A360)/B360)</f>
        <v/>
      </c>
      <c r="G360" s="12" t="str">
        <f>IF(B360=0,"",COUNTIFS('Extração'!N:N,"Não",'Extração'!J:J,A360)/B360)</f>
        <v/>
      </c>
      <c r="H360" s="12" t="str">
        <f>IF(B360=0,"",COUNTIFS('Extração'!O:O,"Não",'Extração'!J:J,A360)/B360)</f>
        <v/>
      </c>
      <c r="I360" s="12" t="str">
        <f>IF(B360=0,"",COUNTIFS('Extração'!P:P,"Igual",'Extração'!J:J,A360)/B360)</f>
        <v/>
      </c>
    </row>
    <row r="361">
      <c r="B361" s="12">
        <f>COUNTIF('Extração'!J:J,A361)</f>
        <v>0</v>
      </c>
      <c r="C361" s="12" t="str">
        <f>IF(B361=0,"",COUNTIFS('Extração'!N:N,"Sim",'Extração'!J:J,A361)/B361)</f>
        <v/>
      </c>
      <c r="D361" s="12" t="str">
        <f>IF(B361=0,"",COUNTIFS('Extração'!O:O,"Sim",'Extração'!J:J,A361)/B361)</f>
        <v/>
      </c>
      <c r="E361" s="12" t="str">
        <f>IF(B361=0,"",COUNTIFS('Extração'!N:N,"Parcialmente",'Extração'!J:J,A361)/B361)</f>
        <v/>
      </c>
      <c r="F361" s="12" t="str">
        <f>IF(B361=0,"",COUNTIFS('Extração'!O:O,"Parcialmente",'Extração'!J:J,A361)/B361)</f>
        <v/>
      </c>
      <c r="G361" s="12" t="str">
        <f>IF(B361=0,"",COUNTIFS('Extração'!N:N,"Não",'Extração'!J:J,A361)/B361)</f>
        <v/>
      </c>
      <c r="H361" s="12" t="str">
        <f>IF(B361=0,"",COUNTIFS('Extração'!O:O,"Não",'Extração'!J:J,A361)/B361)</f>
        <v/>
      </c>
      <c r="I361" s="12" t="str">
        <f>IF(B361=0,"",COUNTIFS('Extração'!P:P,"Igual",'Extração'!J:J,A361)/B361)</f>
        <v/>
      </c>
    </row>
    <row r="362">
      <c r="B362" s="12">
        <f>COUNTIF('Extração'!J:J,A362)</f>
        <v>0</v>
      </c>
      <c r="C362" s="12" t="str">
        <f>IF(B362=0,"",COUNTIFS('Extração'!N:N,"Sim",'Extração'!J:J,A362)/B362)</f>
        <v/>
      </c>
      <c r="D362" s="12" t="str">
        <f>IF(B362=0,"",COUNTIFS('Extração'!O:O,"Sim",'Extração'!J:J,A362)/B362)</f>
        <v/>
      </c>
      <c r="E362" s="12" t="str">
        <f>IF(B362=0,"",COUNTIFS('Extração'!N:N,"Parcialmente",'Extração'!J:J,A362)/B362)</f>
        <v/>
      </c>
      <c r="F362" s="12" t="str">
        <f>IF(B362=0,"",COUNTIFS('Extração'!O:O,"Parcialmente",'Extração'!J:J,A362)/B362)</f>
        <v/>
      </c>
      <c r="G362" s="12" t="str">
        <f>IF(B362=0,"",COUNTIFS('Extração'!N:N,"Não",'Extração'!J:J,A362)/B362)</f>
        <v/>
      </c>
      <c r="H362" s="12" t="str">
        <f>IF(B362=0,"",COUNTIFS('Extração'!O:O,"Não",'Extração'!J:J,A362)/B362)</f>
        <v/>
      </c>
      <c r="I362" s="12" t="str">
        <f>IF(B362=0,"",COUNTIFS('Extração'!P:P,"Igual",'Extração'!J:J,A362)/B362)</f>
        <v/>
      </c>
    </row>
    <row r="363">
      <c r="B363" s="12">
        <f>COUNTIF('Extração'!J:J,A363)</f>
        <v>0</v>
      </c>
      <c r="C363" s="12" t="str">
        <f>IF(B363=0,"",COUNTIFS('Extração'!N:N,"Sim",'Extração'!J:J,A363)/B363)</f>
        <v/>
      </c>
      <c r="D363" s="12" t="str">
        <f>IF(B363=0,"",COUNTIFS('Extração'!O:O,"Sim",'Extração'!J:J,A363)/B363)</f>
        <v/>
      </c>
      <c r="E363" s="12" t="str">
        <f>IF(B363=0,"",COUNTIFS('Extração'!N:N,"Parcialmente",'Extração'!J:J,A363)/B363)</f>
        <v/>
      </c>
      <c r="F363" s="12" t="str">
        <f>IF(B363=0,"",COUNTIFS('Extração'!O:O,"Parcialmente",'Extração'!J:J,A363)/B363)</f>
        <v/>
      </c>
      <c r="G363" s="12" t="str">
        <f>IF(B363=0,"",COUNTIFS('Extração'!N:N,"Não",'Extração'!J:J,A363)/B363)</f>
        <v/>
      </c>
      <c r="H363" s="12" t="str">
        <f>IF(B363=0,"",COUNTIFS('Extração'!O:O,"Não",'Extração'!J:J,A363)/B363)</f>
        <v/>
      </c>
      <c r="I363" s="12" t="str">
        <f>IF(B363=0,"",COUNTIFS('Extração'!P:P,"Igual",'Extração'!J:J,A363)/B363)</f>
        <v/>
      </c>
    </row>
    <row r="364">
      <c r="B364" s="12">
        <f>COUNTIF('Extração'!J:J,A364)</f>
        <v>0</v>
      </c>
      <c r="C364" s="12" t="str">
        <f>IF(B364=0,"",COUNTIFS('Extração'!N:N,"Sim",'Extração'!J:J,A364)/B364)</f>
        <v/>
      </c>
      <c r="D364" s="12" t="str">
        <f>IF(B364=0,"",COUNTIFS('Extração'!O:O,"Sim",'Extração'!J:J,A364)/B364)</f>
        <v/>
      </c>
      <c r="E364" s="12" t="str">
        <f>IF(B364=0,"",COUNTIFS('Extração'!N:N,"Parcialmente",'Extração'!J:J,A364)/B364)</f>
        <v/>
      </c>
      <c r="F364" s="12" t="str">
        <f>IF(B364=0,"",COUNTIFS('Extração'!O:O,"Parcialmente",'Extração'!J:J,A364)/B364)</f>
        <v/>
      </c>
      <c r="G364" s="12" t="str">
        <f>IF(B364=0,"",COUNTIFS('Extração'!N:N,"Não",'Extração'!J:J,A364)/B364)</f>
        <v/>
      </c>
      <c r="H364" s="12" t="str">
        <f>IF(B364=0,"",COUNTIFS('Extração'!O:O,"Não",'Extração'!J:J,A364)/B364)</f>
        <v/>
      </c>
      <c r="I364" s="12" t="str">
        <f>IF(B364=0,"",COUNTIFS('Extração'!P:P,"Igual",'Extração'!J:J,A364)/B364)</f>
        <v/>
      </c>
    </row>
    <row r="365">
      <c r="B365" s="12">
        <f>COUNTIF('Extração'!J:J,A365)</f>
        <v>0</v>
      </c>
      <c r="C365" s="12" t="str">
        <f>IF(B365=0,"",COUNTIFS('Extração'!N:N,"Sim",'Extração'!J:J,A365)/B365)</f>
        <v/>
      </c>
      <c r="D365" s="12" t="str">
        <f>IF(B365=0,"",COUNTIFS('Extração'!O:O,"Sim",'Extração'!J:J,A365)/B365)</f>
        <v/>
      </c>
      <c r="E365" s="12" t="str">
        <f>IF(B365=0,"",COUNTIFS('Extração'!N:N,"Parcialmente",'Extração'!J:J,A365)/B365)</f>
        <v/>
      </c>
      <c r="F365" s="12" t="str">
        <f>IF(B365=0,"",COUNTIFS('Extração'!O:O,"Parcialmente",'Extração'!J:J,A365)/B365)</f>
        <v/>
      </c>
      <c r="G365" s="12" t="str">
        <f>IF(B365=0,"",COUNTIFS('Extração'!N:N,"Não",'Extração'!J:J,A365)/B365)</f>
        <v/>
      </c>
      <c r="H365" s="12" t="str">
        <f>IF(B365=0,"",COUNTIFS('Extração'!O:O,"Não",'Extração'!J:J,A365)/B365)</f>
        <v/>
      </c>
      <c r="I365" s="12" t="str">
        <f>IF(B365=0,"",COUNTIFS('Extração'!P:P,"Igual",'Extração'!J:J,A365)/B365)</f>
        <v/>
      </c>
    </row>
    <row r="366">
      <c r="B366" s="12">
        <f>COUNTIF('Extração'!J:J,A366)</f>
        <v>0</v>
      </c>
      <c r="C366" s="12" t="str">
        <f>IF(B366=0,"",COUNTIFS('Extração'!N:N,"Sim",'Extração'!J:J,A366)/B366)</f>
        <v/>
      </c>
      <c r="D366" s="12" t="str">
        <f>IF(B366=0,"",COUNTIFS('Extração'!O:O,"Sim",'Extração'!J:J,A366)/B366)</f>
        <v/>
      </c>
      <c r="E366" s="12" t="str">
        <f>IF(B366=0,"",COUNTIFS('Extração'!N:N,"Parcialmente",'Extração'!J:J,A366)/B366)</f>
        <v/>
      </c>
      <c r="F366" s="12" t="str">
        <f>IF(B366=0,"",COUNTIFS('Extração'!O:O,"Parcialmente",'Extração'!J:J,A366)/B366)</f>
        <v/>
      </c>
      <c r="G366" s="12" t="str">
        <f>IF(B366=0,"",COUNTIFS('Extração'!N:N,"Não",'Extração'!J:J,A366)/B366)</f>
        <v/>
      </c>
      <c r="H366" s="12" t="str">
        <f>IF(B366=0,"",COUNTIFS('Extração'!O:O,"Não",'Extração'!J:J,A366)/B366)</f>
        <v/>
      </c>
      <c r="I366" s="12" t="str">
        <f>IF(B366=0,"",COUNTIFS('Extração'!P:P,"Igual",'Extração'!J:J,A366)/B366)</f>
        <v/>
      </c>
    </row>
    <row r="367">
      <c r="B367" s="12">
        <f>COUNTIF('Extração'!J:J,A367)</f>
        <v>0</v>
      </c>
      <c r="C367" s="12" t="str">
        <f>IF(B367=0,"",COUNTIFS('Extração'!N:N,"Sim",'Extração'!J:J,A367)/B367)</f>
        <v/>
      </c>
      <c r="D367" s="12" t="str">
        <f>IF(B367=0,"",COUNTIFS('Extração'!O:O,"Sim",'Extração'!J:J,A367)/B367)</f>
        <v/>
      </c>
      <c r="E367" s="12" t="str">
        <f>IF(B367=0,"",COUNTIFS('Extração'!N:N,"Parcialmente",'Extração'!J:J,A367)/B367)</f>
        <v/>
      </c>
      <c r="F367" s="12" t="str">
        <f>IF(B367=0,"",COUNTIFS('Extração'!O:O,"Parcialmente",'Extração'!J:J,A367)/B367)</f>
        <v/>
      </c>
      <c r="G367" s="12" t="str">
        <f>IF(B367=0,"",COUNTIFS('Extração'!N:N,"Não",'Extração'!J:J,A367)/B367)</f>
        <v/>
      </c>
      <c r="H367" s="12" t="str">
        <f>IF(B367=0,"",COUNTIFS('Extração'!O:O,"Não",'Extração'!J:J,A367)/B367)</f>
        <v/>
      </c>
      <c r="I367" s="12" t="str">
        <f>IF(B367=0,"",COUNTIFS('Extração'!P:P,"Igual",'Extração'!J:J,A367)/B367)</f>
        <v/>
      </c>
    </row>
    <row r="368">
      <c r="B368" s="12">
        <f>COUNTIF('Extração'!J:J,A368)</f>
        <v>0</v>
      </c>
      <c r="C368" s="12" t="str">
        <f>IF(B368=0,"",COUNTIFS('Extração'!N:N,"Sim",'Extração'!J:J,A368)/B368)</f>
        <v/>
      </c>
      <c r="D368" s="12" t="str">
        <f>IF(B368=0,"",COUNTIFS('Extração'!O:O,"Sim",'Extração'!J:J,A368)/B368)</f>
        <v/>
      </c>
      <c r="E368" s="12" t="str">
        <f>IF(B368=0,"",COUNTIFS('Extração'!N:N,"Parcialmente",'Extração'!J:J,A368)/B368)</f>
        <v/>
      </c>
      <c r="F368" s="12" t="str">
        <f>IF(B368=0,"",COUNTIFS('Extração'!O:O,"Parcialmente",'Extração'!J:J,A368)/B368)</f>
        <v/>
      </c>
      <c r="G368" s="12" t="str">
        <f>IF(B368=0,"",COUNTIFS('Extração'!N:N,"Não",'Extração'!J:J,A368)/B368)</f>
        <v/>
      </c>
      <c r="H368" s="12" t="str">
        <f>IF(B368=0,"",COUNTIFS('Extração'!O:O,"Não",'Extração'!J:J,A368)/B368)</f>
        <v/>
      </c>
      <c r="I368" s="12" t="str">
        <f>IF(B368=0,"",COUNTIFS('Extração'!P:P,"Igual",'Extração'!J:J,A368)/B368)</f>
        <v/>
      </c>
    </row>
    <row r="369">
      <c r="B369" s="12">
        <f>COUNTIF('Extração'!J:J,A369)</f>
        <v>0</v>
      </c>
      <c r="C369" s="12" t="str">
        <f>IF(B369=0,"",COUNTIFS('Extração'!N:N,"Sim",'Extração'!J:J,A369)/B369)</f>
        <v/>
      </c>
      <c r="D369" s="12" t="str">
        <f>IF(B369=0,"",COUNTIFS('Extração'!O:O,"Sim",'Extração'!J:J,A369)/B369)</f>
        <v/>
      </c>
      <c r="E369" s="12" t="str">
        <f>IF(B369=0,"",COUNTIFS('Extração'!N:N,"Parcialmente",'Extração'!J:J,A369)/B369)</f>
        <v/>
      </c>
      <c r="F369" s="12" t="str">
        <f>IF(B369=0,"",COUNTIFS('Extração'!O:O,"Parcialmente",'Extração'!J:J,A369)/B369)</f>
        <v/>
      </c>
      <c r="G369" s="12" t="str">
        <f>IF(B369=0,"",COUNTIFS('Extração'!N:N,"Não",'Extração'!J:J,A369)/B369)</f>
        <v/>
      </c>
      <c r="H369" s="12" t="str">
        <f>IF(B369=0,"",COUNTIFS('Extração'!O:O,"Não",'Extração'!J:J,A369)/B369)</f>
        <v/>
      </c>
      <c r="I369" s="12" t="str">
        <f>IF(B369=0,"",COUNTIFS('Extração'!P:P,"Igual",'Extração'!J:J,A369)/B369)</f>
        <v/>
      </c>
    </row>
    <row r="370">
      <c r="B370" s="12">
        <f>COUNTIF('Extração'!J:J,A370)</f>
        <v>0</v>
      </c>
      <c r="C370" s="12" t="str">
        <f>IF(B370=0,"",COUNTIFS('Extração'!N:N,"Sim",'Extração'!J:J,A370)/B370)</f>
        <v/>
      </c>
      <c r="D370" s="12" t="str">
        <f>IF(B370=0,"",COUNTIFS('Extração'!O:O,"Sim",'Extração'!J:J,A370)/B370)</f>
        <v/>
      </c>
      <c r="E370" s="12" t="str">
        <f>IF(B370=0,"",COUNTIFS('Extração'!N:N,"Parcialmente",'Extração'!J:J,A370)/B370)</f>
        <v/>
      </c>
      <c r="F370" s="12" t="str">
        <f>IF(B370=0,"",COUNTIFS('Extração'!O:O,"Parcialmente",'Extração'!J:J,A370)/B370)</f>
        <v/>
      </c>
      <c r="G370" s="12" t="str">
        <f>IF(B370=0,"",COUNTIFS('Extração'!N:N,"Não",'Extração'!J:J,A370)/B370)</f>
        <v/>
      </c>
      <c r="H370" s="12" t="str">
        <f>IF(B370=0,"",COUNTIFS('Extração'!O:O,"Não",'Extração'!J:J,A370)/B370)</f>
        <v/>
      </c>
      <c r="I370" s="12" t="str">
        <f>IF(B370=0,"",COUNTIFS('Extração'!P:P,"Igual",'Extração'!J:J,A370)/B370)</f>
        <v/>
      </c>
    </row>
    <row r="371">
      <c r="B371" s="12">
        <f>COUNTIF('Extração'!J:J,A371)</f>
        <v>0</v>
      </c>
      <c r="C371" s="12" t="str">
        <f>IF(B371=0,"",COUNTIFS('Extração'!N:N,"Sim",'Extração'!J:J,A371)/B371)</f>
        <v/>
      </c>
      <c r="D371" s="12" t="str">
        <f>IF(B371=0,"",COUNTIFS('Extração'!O:O,"Sim",'Extração'!J:J,A371)/B371)</f>
        <v/>
      </c>
      <c r="E371" s="12" t="str">
        <f>IF(B371=0,"",COUNTIFS('Extração'!N:N,"Parcialmente",'Extração'!J:J,A371)/B371)</f>
        <v/>
      </c>
      <c r="F371" s="12" t="str">
        <f>IF(B371=0,"",COUNTIFS('Extração'!O:O,"Parcialmente",'Extração'!J:J,A371)/B371)</f>
        <v/>
      </c>
      <c r="G371" s="12" t="str">
        <f>IF(B371=0,"",COUNTIFS('Extração'!N:N,"Não",'Extração'!J:J,A371)/B371)</f>
        <v/>
      </c>
      <c r="H371" s="12" t="str">
        <f>IF(B371=0,"",COUNTIFS('Extração'!O:O,"Não",'Extração'!J:J,A371)/B371)</f>
        <v/>
      </c>
      <c r="I371" s="12" t="str">
        <f>IF(B371=0,"",COUNTIFS('Extração'!P:P,"Igual",'Extração'!J:J,A371)/B371)</f>
        <v/>
      </c>
    </row>
    <row r="372">
      <c r="B372" s="12">
        <f>COUNTIF('Extração'!J:J,A372)</f>
        <v>0</v>
      </c>
      <c r="C372" s="12" t="str">
        <f>IF(B372=0,"",COUNTIFS('Extração'!N:N,"Sim",'Extração'!J:J,A372)/B372)</f>
        <v/>
      </c>
      <c r="D372" s="12" t="str">
        <f>IF(B372=0,"",COUNTIFS('Extração'!O:O,"Sim",'Extração'!J:J,A372)/B372)</f>
        <v/>
      </c>
      <c r="E372" s="12" t="str">
        <f>IF(B372=0,"",COUNTIFS('Extração'!N:N,"Parcialmente",'Extração'!J:J,A372)/B372)</f>
        <v/>
      </c>
      <c r="F372" s="12" t="str">
        <f>IF(B372=0,"",COUNTIFS('Extração'!O:O,"Parcialmente",'Extração'!J:J,A372)/B372)</f>
        <v/>
      </c>
      <c r="G372" s="12" t="str">
        <f>IF(B372=0,"",COUNTIFS('Extração'!N:N,"Não",'Extração'!J:J,A372)/B372)</f>
        <v/>
      </c>
      <c r="H372" s="12" t="str">
        <f>IF(B372=0,"",COUNTIFS('Extração'!O:O,"Não",'Extração'!J:J,A372)/B372)</f>
        <v/>
      </c>
      <c r="I372" s="12" t="str">
        <f>IF(B372=0,"",COUNTIFS('Extração'!P:P,"Igual",'Extração'!J:J,A372)/B372)</f>
        <v/>
      </c>
    </row>
    <row r="373">
      <c r="B373" s="12">
        <f>COUNTIF('Extração'!J:J,A373)</f>
        <v>0</v>
      </c>
      <c r="C373" s="12" t="str">
        <f>IF(B373=0,"",COUNTIFS('Extração'!N:N,"Sim",'Extração'!J:J,A373)/B373)</f>
        <v/>
      </c>
      <c r="D373" s="12" t="str">
        <f>IF(B373=0,"",COUNTIFS('Extração'!O:O,"Sim",'Extração'!J:J,A373)/B373)</f>
        <v/>
      </c>
      <c r="E373" s="12" t="str">
        <f>IF(B373=0,"",COUNTIFS('Extração'!N:N,"Parcialmente",'Extração'!J:J,A373)/B373)</f>
        <v/>
      </c>
      <c r="F373" s="12" t="str">
        <f>IF(B373=0,"",COUNTIFS('Extração'!O:O,"Parcialmente",'Extração'!J:J,A373)/B373)</f>
        <v/>
      </c>
      <c r="G373" s="12" t="str">
        <f>IF(B373=0,"",COUNTIFS('Extração'!N:N,"Não",'Extração'!J:J,A373)/B373)</f>
        <v/>
      </c>
      <c r="H373" s="12" t="str">
        <f>IF(B373=0,"",COUNTIFS('Extração'!O:O,"Não",'Extração'!J:J,A373)/B373)</f>
        <v/>
      </c>
      <c r="I373" s="12" t="str">
        <f>IF(B373=0,"",COUNTIFS('Extração'!P:P,"Igual",'Extração'!J:J,A373)/B373)</f>
        <v/>
      </c>
    </row>
    <row r="374">
      <c r="B374" s="12">
        <f>COUNTIF('Extração'!J:J,A374)</f>
        <v>0</v>
      </c>
      <c r="C374" s="12" t="str">
        <f>IF(B374=0,"",COUNTIFS('Extração'!N:N,"Sim",'Extração'!J:J,A374)/B374)</f>
        <v/>
      </c>
      <c r="D374" s="12" t="str">
        <f>IF(B374=0,"",COUNTIFS('Extração'!O:O,"Sim",'Extração'!J:J,A374)/B374)</f>
        <v/>
      </c>
      <c r="E374" s="12" t="str">
        <f>IF(B374=0,"",COUNTIFS('Extração'!N:N,"Parcialmente",'Extração'!J:J,A374)/B374)</f>
        <v/>
      </c>
      <c r="F374" s="12" t="str">
        <f>IF(B374=0,"",COUNTIFS('Extração'!O:O,"Parcialmente",'Extração'!J:J,A374)/B374)</f>
        <v/>
      </c>
      <c r="G374" s="12" t="str">
        <f>IF(B374=0,"",COUNTIFS('Extração'!N:N,"Não",'Extração'!J:J,A374)/B374)</f>
        <v/>
      </c>
      <c r="H374" s="12" t="str">
        <f>IF(B374=0,"",COUNTIFS('Extração'!O:O,"Não",'Extração'!J:J,A374)/B374)</f>
        <v/>
      </c>
      <c r="I374" s="12" t="str">
        <f>IF(B374=0,"",COUNTIFS('Extração'!P:P,"Igual",'Extração'!J:J,A374)/B374)</f>
        <v/>
      </c>
    </row>
    <row r="375">
      <c r="B375" s="12">
        <f>COUNTIF('Extração'!J:J,A375)</f>
        <v>0</v>
      </c>
      <c r="C375" s="12" t="str">
        <f>IF(B375=0,"",COUNTIFS('Extração'!N:N,"Sim",'Extração'!J:J,A375)/B375)</f>
        <v/>
      </c>
      <c r="D375" s="12" t="str">
        <f>IF(B375=0,"",COUNTIFS('Extração'!O:O,"Sim",'Extração'!J:J,A375)/B375)</f>
        <v/>
      </c>
      <c r="E375" s="12" t="str">
        <f>IF(B375=0,"",COUNTIFS('Extração'!N:N,"Parcialmente",'Extração'!J:J,A375)/B375)</f>
        <v/>
      </c>
      <c r="F375" s="12" t="str">
        <f>IF(B375=0,"",COUNTIFS('Extração'!O:O,"Parcialmente",'Extração'!J:J,A375)/B375)</f>
        <v/>
      </c>
      <c r="G375" s="12" t="str">
        <f>IF(B375=0,"",COUNTIFS('Extração'!N:N,"Não",'Extração'!J:J,A375)/B375)</f>
        <v/>
      </c>
      <c r="H375" s="12" t="str">
        <f>IF(B375=0,"",COUNTIFS('Extração'!O:O,"Não",'Extração'!J:J,A375)/B375)</f>
        <v/>
      </c>
      <c r="I375" s="12" t="str">
        <f>IF(B375=0,"",COUNTIFS('Extração'!P:P,"Igual",'Extração'!J:J,A375)/B375)</f>
        <v/>
      </c>
    </row>
    <row r="376">
      <c r="B376" s="12">
        <f>COUNTIF('Extração'!J:J,A376)</f>
        <v>0</v>
      </c>
      <c r="C376" s="12" t="str">
        <f>IF(B376=0,"",COUNTIFS('Extração'!N:N,"Sim",'Extração'!J:J,A376)/B376)</f>
        <v/>
      </c>
      <c r="D376" s="12" t="str">
        <f>IF(B376=0,"",COUNTIFS('Extração'!O:O,"Sim",'Extração'!J:J,A376)/B376)</f>
        <v/>
      </c>
      <c r="E376" s="12" t="str">
        <f>IF(B376=0,"",COUNTIFS('Extração'!N:N,"Parcialmente",'Extração'!J:J,A376)/B376)</f>
        <v/>
      </c>
      <c r="F376" s="12" t="str">
        <f>IF(B376=0,"",COUNTIFS('Extração'!O:O,"Parcialmente",'Extração'!J:J,A376)/B376)</f>
        <v/>
      </c>
      <c r="G376" s="12" t="str">
        <f>IF(B376=0,"",COUNTIFS('Extração'!N:N,"Não",'Extração'!J:J,A376)/B376)</f>
        <v/>
      </c>
      <c r="H376" s="12" t="str">
        <f>IF(B376=0,"",COUNTIFS('Extração'!O:O,"Não",'Extração'!J:J,A376)/B376)</f>
        <v/>
      </c>
      <c r="I376" s="12" t="str">
        <f>IF(B376=0,"",COUNTIFS('Extração'!P:P,"Igual",'Extração'!J:J,A376)/B376)</f>
        <v/>
      </c>
    </row>
    <row r="377">
      <c r="B377" s="12">
        <f>COUNTIF('Extração'!J:J,A377)</f>
        <v>0</v>
      </c>
      <c r="C377" s="12" t="str">
        <f>IF(B377=0,"",COUNTIFS('Extração'!N:N,"Sim",'Extração'!J:J,A377)/B377)</f>
        <v/>
      </c>
      <c r="D377" s="12" t="str">
        <f>IF(B377=0,"",COUNTIFS('Extração'!O:O,"Sim",'Extração'!J:J,A377)/B377)</f>
        <v/>
      </c>
      <c r="E377" s="12" t="str">
        <f>IF(B377=0,"",COUNTIFS('Extração'!N:N,"Parcialmente",'Extração'!J:J,A377)/B377)</f>
        <v/>
      </c>
      <c r="F377" s="12" t="str">
        <f>IF(B377=0,"",COUNTIFS('Extração'!O:O,"Parcialmente",'Extração'!J:J,A377)/B377)</f>
        <v/>
      </c>
      <c r="G377" s="12" t="str">
        <f>IF(B377=0,"",COUNTIFS('Extração'!N:N,"Não",'Extração'!J:J,A377)/B377)</f>
        <v/>
      </c>
      <c r="H377" s="12" t="str">
        <f>IF(B377=0,"",COUNTIFS('Extração'!O:O,"Não",'Extração'!J:J,A377)/B377)</f>
        <v/>
      </c>
      <c r="I377" s="12" t="str">
        <f>IF(B377=0,"",COUNTIFS('Extração'!P:P,"Igual",'Extração'!J:J,A377)/B377)</f>
        <v/>
      </c>
    </row>
    <row r="378">
      <c r="B378" s="12">
        <f>COUNTIF('Extração'!J:J,A378)</f>
        <v>0</v>
      </c>
      <c r="C378" s="12" t="str">
        <f>IF(B378=0,"",COUNTIFS('Extração'!N:N,"Sim",'Extração'!J:J,A378)/B378)</f>
        <v/>
      </c>
      <c r="D378" s="12" t="str">
        <f>IF(B378=0,"",COUNTIFS('Extração'!O:O,"Sim",'Extração'!J:J,A378)/B378)</f>
        <v/>
      </c>
      <c r="E378" s="12" t="str">
        <f>IF(B378=0,"",COUNTIFS('Extração'!N:N,"Parcialmente",'Extração'!J:J,A378)/B378)</f>
        <v/>
      </c>
      <c r="F378" s="12" t="str">
        <f>IF(B378=0,"",COUNTIFS('Extração'!O:O,"Parcialmente",'Extração'!J:J,A378)/B378)</f>
        <v/>
      </c>
      <c r="G378" s="12" t="str">
        <f>IF(B378=0,"",COUNTIFS('Extração'!N:N,"Não",'Extração'!J:J,A378)/B378)</f>
        <v/>
      </c>
      <c r="H378" s="12" t="str">
        <f>IF(B378=0,"",COUNTIFS('Extração'!O:O,"Não",'Extração'!J:J,A378)/B378)</f>
        <v/>
      </c>
      <c r="I378" s="12" t="str">
        <f>IF(B378=0,"",COUNTIFS('Extração'!P:P,"Igual",'Extração'!J:J,A378)/B378)</f>
        <v/>
      </c>
    </row>
    <row r="379">
      <c r="B379" s="12">
        <f>COUNTIF('Extração'!J:J,A379)</f>
        <v>0</v>
      </c>
      <c r="C379" s="12" t="str">
        <f>IF(B379=0,"",COUNTIFS('Extração'!N:N,"Sim",'Extração'!J:J,A379)/B379)</f>
        <v/>
      </c>
      <c r="D379" s="12" t="str">
        <f>IF(B379=0,"",COUNTIFS('Extração'!O:O,"Sim",'Extração'!J:J,A379)/B379)</f>
        <v/>
      </c>
      <c r="E379" s="12" t="str">
        <f>IF(B379=0,"",COUNTIFS('Extração'!N:N,"Parcialmente",'Extração'!J:J,A379)/B379)</f>
        <v/>
      </c>
      <c r="F379" s="12" t="str">
        <f>IF(B379=0,"",COUNTIFS('Extração'!O:O,"Parcialmente",'Extração'!J:J,A379)/B379)</f>
        <v/>
      </c>
      <c r="G379" s="12" t="str">
        <f>IF(B379=0,"",COUNTIFS('Extração'!N:N,"Não",'Extração'!J:J,A379)/B379)</f>
        <v/>
      </c>
      <c r="H379" s="12" t="str">
        <f>IF(B379=0,"",COUNTIFS('Extração'!O:O,"Não",'Extração'!J:J,A379)/B379)</f>
        <v/>
      </c>
      <c r="I379" s="12" t="str">
        <f>IF(B379=0,"",COUNTIFS('Extração'!P:P,"Igual",'Extração'!J:J,A379)/B379)</f>
        <v/>
      </c>
    </row>
    <row r="380">
      <c r="B380" s="12">
        <f>COUNTIF('Extração'!J:J,A380)</f>
        <v>0</v>
      </c>
      <c r="C380" s="12" t="str">
        <f>IF(B380=0,"",COUNTIFS('Extração'!N:N,"Sim",'Extração'!J:J,A380)/B380)</f>
        <v/>
      </c>
      <c r="D380" s="12" t="str">
        <f>IF(B380=0,"",COUNTIFS('Extração'!O:O,"Sim",'Extração'!J:J,A380)/B380)</f>
        <v/>
      </c>
      <c r="E380" s="12" t="str">
        <f>IF(B380=0,"",COUNTIFS('Extração'!N:N,"Parcialmente",'Extração'!J:J,A380)/B380)</f>
        <v/>
      </c>
      <c r="F380" s="12" t="str">
        <f>IF(B380=0,"",COUNTIFS('Extração'!O:O,"Parcialmente",'Extração'!J:J,A380)/B380)</f>
        <v/>
      </c>
      <c r="G380" s="12" t="str">
        <f>IF(B380=0,"",COUNTIFS('Extração'!N:N,"Não",'Extração'!J:J,A380)/B380)</f>
        <v/>
      </c>
      <c r="H380" s="12" t="str">
        <f>IF(B380=0,"",COUNTIFS('Extração'!O:O,"Não",'Extração'!J:J,A380)/B380)</f>
        <v/>
      </c>
      <c r="I380" s="12" t="str">
        <f>IF(B380=0,"",COUNTIFS('Extração'!P:P,"Igual",'Extração'!J:J,A380)/B380)</f>
        <v/>
      </c>
    </row>
    <row r="381">
      <c r="B381" s="12">
        <f>COUNTIF('Extração'!J:J,A381)</f>
        <v>0</v>
      </c>
      <c r="C381" s="12" t="str">
        <f>IF(B381=0,"",COUNTIFS('Extração'!N:N,"Sim",'Extração'!J:J,A381)/B381)</f>
        <v/>
      </c>
      <c r="D381" s="12" t="str">
        <f>IF(B381=0,"",COUNTIFS('Extração'!O:O,"Sim",'Extração'!J:J,A381)/B381)</f>
        <v/>
      </c>
      <c r="E381" s="12" t="str">
        <f>IF(B381=0,"",COUNTIFS('Extração'!N:N,"Parcialmente",'Extração'!J:J,A381)/B381)</f>
        <v/>
      </c>
      <c r="F381" s="12" t="str">
        <f>IF(B381=0,"",COUNTIFS('Extração'!O:O,"Parcialmente",'Extração'!J:J,A381)/B381)</f>
        <v/>
      </c>
      <c r="G381" s="12" t="str">
        <f>IF(B381=0,"",COUNTIFS('Extração'!N:N,"Não",'Extração'!J:J,A381)/B381)</f>
        <v/>
      </c>
      <c r="H381" s="12" t="str">
        <f>IF(B381=0,"",COUNTIFS('Extração'!O:O,"Não",'Extração'!J:J,A381)/B381)</f>
        <v/>
      </c>
      <c r="I381" s="12" t="str">
        <f>IF(B381=0,"",COUNTIFS('Extração'!P:P,"Igual",'Extração'!J:J,A381)/B381)</f>
        <v/>
      </c>
    </row>
    <row r="382">
      <c r="B382" s="12">
        <f>COUNTIF('Extração'!J:J,A382)</f>
        <v>0</v>
      </c>
      <c r="C382" s="12" t="str">
        <f>IF(B382=0,"",COUNTIFS('Extração'!N:N,"Sim",'Extração'!J:J,A382)/B382)</f>
        <v/>
      </c>
      <c r="D382" s="12" t="str">
        <f>IF(B382=0,"",COUNTIFS('Extração'!O:O,"Sim",'Extração'!J:J,A382)/B382)</f>
        <v/>
      </c>
      <c r="E382" s="12" t="str">
        <f>IF(B382=0,"",COUNTIFS('Extração'!N:N,"Parcialmente",'Extração'!J:J,A382)/B382)</f>
        <v/>
      </c>
      <c r="F382" s="12" t="str">
        <f>IF(B382=0,"",COUNTIFS('Extração'!O:O,"Parcialmente",'Extração'!J:J,A382)/B382)</f>
        <v/>
      </c>
      <c r="G382" s="12" t="str">
        <f>IF(B382=0,"",COUNTIFS('Extração'!N:N,"Não",'Extração'!J:J,A382)/B382)</f>
        <v/>
      </c>
      <c r="H382" s="12" t="str">
        <f>IF(B382=0,"",COUNTIFS('Extração'!O:O,"Não",'Extração'!J:J,A382)/B382)</f>
        <v/>
      </c>
      <c r="I382" s="12" t="str">
        <f>IF(B382=0,"",COUNTIFS('Extração'!P:P,"Igual",'Extração'!J:J,A382)/B382)</f>
        <v/>
      </c>
    </row>
    <row r="383">
      <c r="B383" s="12">
        <f>COUNTIF('Extração'!J:J,A383)</f>
        <v>0</v>
      </c>
      <c r="C383" s="12" t="str">
        <f>IF(B383=0,"",COUNTIFS('Extração'!N:N,"Sim",'Extração'!J:J,A383)/B383)</f>
        <v/>
      </c>
      <c r="D383" s="12" t="str">
        <f>IF(B383=0,"",COUNTIFS('Extração'!O:O,"Sim",'Extração'!J:J,A383)/B383)</f>
        <v/>
      </c>
      <c r="E383" s="12" t="str">
        <f>IF(B383=0,"",COUNTIFS('Extração'!N:N,"Parcialmente",'Extração'!J:J,A383)/B383)</f>
        <v/>
      </c>
      <c r="F383" s="12" t="str">
        <f>IF(B383=0,"",COUNTIFS('Extração'!O:O,"Parcialmente",'Extração'!J:J,A383)/B383)</f>
        <v/>
      </c>
      <c r="G383" s="12" t="str">
        <f>IF(B383=0,"",COUNTIFS('Extração'!N:N,"Não",'Extração'!J:J,A383)/B383)</f>
        <v/>
      </c>
      <c r="H383" s="12" t="str">
        <f>IF(B383=0,"",COUNTIFS('Extração'!O:O,"Não",'Extração'!J:J,A383)/B383)</f>
        <v/>
      </c>
      <c r="I383" s="12" t="str">
        <f>IF(B383=0,"",COUNTIFS('Extração'!P:P,"Igual",'Extração'!J:J,A383)/B383)</f>
        <v/>
      </c>
    </row>
    <row r="384">
      <c r="B384" s="12">
        <f>COUNTIF('Extração'!J:J,A384)</f>
        <v>0</v>
      </c>
      <c r="C384" s="12" t="str">
        <f>IF(B384=0,"",COUNTIFS('Extração'!N:N,"Sim",'Extração'!J:J,A384)/B384)</f>
        <v/>
      </c>
      <c r="D384" s="12" t="str">
        <f>IF(B384=0,"",COUNTIFS('Extração'!O:O,"Sim",'Extração'!J:J,A384)/B384)</f>
        <v/>
      </c>
      <c r="E384" s="12" t="str">
        <f>IF(B384=0,"",COUNTIFS('Extração'!N:N,"Parcialmente",'Extração'!J:J,A384)/B384)</f>
        <v/>
      </c>
      <c r="F384" s="12" t="str">
        <f>IF(B384=0,"",COUNTIFS('Extração'!O:O,"Parcialmente",'Extração'!J:J,A384)/B384)</f>
        <v/>
      </c>
      <c r="G384" s="12" t="str">
        <f>IF(B384=0,"",COUNTIFS('Extração'!N:N,"Não",'Extração'!J:J,A384)/B384)</f>
        <v/>
      </c>
      <c r="H384" s="12" t="str">
        <f>IF(B384=0,"",COUNTIFS('Extração'!O:O,"Não",'Extração'!J:J,A384)/B384)</f>
        <v/>
      </c>
      <c r="I384" s="12" t="str">
        <f>IF(B384=0,"",COUNTIFS('Extração'!P:P,"Igual",'Extração'!J:J,A384)/B384)</f>
        <v/>
      </c>
    </row>
    <row r="385">
      <c r="B385" s="12">
        <f>COUNTIF('Extração'!J:J,A385)</f>
        <v>0</v>
      </c>
      <c r="C385" s="12" t="str">
        <f>IF(B385=0,"",COUNTIFS('Extração'!N:N,"Sim",'Extração'!J:J,A385)/B385)</f>
        <v/>
      </c>
      <c r="D385" s="12" t="str">
        <f>IF(B385=0,"",COUNTIFS('Extração'!O:O,"Sim",'Extração'!J:J,A385)/B385)</f>
        <v/>
      </c>
      <c r="E385" s="12" t="str">
        <f>IF(B385=0,"",COUNTIFS('Extração'!N:N,"Parcialmente",'Extração'!J:J,A385)/B385)</f>
        <v/>
      </c>
      <c r="F385" s="12" t="str">
        <f>IF(B385=0,"",COUNTIFS('Extração'!O:O,"Parcialmente",'Extração'!J:J,A385)/B385)</f>
        <v/>
      </c>
      <c r="G385" s="12" t="str">
        <f>IF(B385=0,"",COUNTIFS('Extração'!N:N,"Não",'Extração'!J:J,A385)/B385)</f>
        <v/>
      </c>
      <c r="H385" s="12" t="str">
        <f>IF(B385=0,"",COUNTIFS('Extração'!O:O,"Não",'Extração'!J:J,A385)/B385)</f>
        <v/>
      </c>
      <c r="I385" s="12" t="str">
        <f>IF(B385=0,"",COUNTIFS('Extração'!P:P,"Igual",'Extração'!J:J,A385)/B385)</f>
        <v/>
      </c>
    </row>
    <row r="386">
      <c r="B386" s="12">
        <f>COUNTIF('Extração'!J:J,A386)</f>
        <v>0</v>
      </c>
      <c r="C386" s="12" t="str">
        <f>IF(B386=0,"",COUNTIFS('Extração'!N:N,"Sim",'Extração'!J:J,A386)/B386)</f>
        <v/>
      </c>
      <c r="D386" s="12" t="str">
        <f>IF(B386=0,"",COUNTIFS('Extração'!O:O,"Sim",'Extração'!J:J,A386)/B386)</f>
        <v/>
      </c>
      <c r="E386" s="12" t="str">
        <f>IF(B386=0,"",COUNTIFS('Extração'!N:N,"Parcialmente",'Extração'!J:J,A386)/B386)</f>
        <v/>
      </c>
      <c r="F386" s="12" t="str">
        <f>IF(B386=0,"",COUNTIFS('Extração'!O:O,"Parcialmente",'Extração'!J:J,A386)/B386)</f>
        <v/>
      </c>
      <c r="G386" s="12" t="str">
        <f>IF(B386=0,"",COUNTIFS('Extração'!N:N,"Não",'Extração'!J:J,A386)/B386)</f>
        <v/>
      </c>
      <c r="H386" s="12" t="str">
        <f>IF(B386=0,"",COUNTIFS('Extração'!O:O,"Não",'Extração'!J:J,A386)/B386)</f>
        <v/>
      </c>
      <c r="I386" s="12" t="str">
        <f>IF(B386=0,"",COUNTIFS('Extração'!P:P,"Igual",'Extração'!J:J,A386)/B386)</f>
        <v/>
      </c>
    </row>
    <row r="387">
      <c r="B387" s="12">
        <f>COUNTIF('Extração'!J:J,A387)</f>
        <v>0</v>
      </c>
      <c r="C387" s="12" t="str">
        <f>IF(B387=0,"",COUNTIFS('Extração'!N:N,"Sim",'Extração'!J:J,A387)/B387)</f>
        <v/>
      </c>
      <c r="D387" s="12" t="str">
        <f>IF(B387=0,"",COUNTIFS('Extração'!O:O,"Sim",'Extração'!J:J,A387)/B387)</f>
        <v/>
      </c>
      <c r="E387" s="12" t="str">
        <f>IF(B387=0,"",COUNTIFS('Extração'!N:N,"Parcialmente",'Extração'!J:J,A387)/B387)</f>
        <v/>
      </c>
      <c r="F387" s="12" t="str">
        <f>IF(B387=0,"",COUNTIFS('Extração'!O:O,"Parcialmente",'Extração'!J:J,A387)/B387)</f>
        <v/>
      </c>
      <c r="G387" s="12" t="str">
        <f>IF(B387=0,"",COUNTIFS('Extração'!N:N,"Não",'Extração'!J:J,A387)/B387)</f>
        <v/>
      </c>
      <c r="H387" s="12" t="str">
        <f>IF(B387=0,"",COUNTIFS('Extração'!O:O,"Não",'Extração'!J:J,A387)/B387)</f>
        <v/>
      </c>
      <c r="I387" s="12" t="str">
        <f>IF(B387=0,"",COUNTIFS('Extração'!P:P,"Igual",'Extração'!J:J,A387)/B387)</f>
        <v/>
      </c>
    </row>
    <row r="388">
      <c r="B388" s="12">
        <f>COUNTIF('Extração'!J:J,A388)</f>
        <v>0</v>
      </c>
      <c r="C388" s="12" t="str">
        <f>IF(B388=0,"",COUNTIFS('Extração'!N:N,"Sim",'Extração'!J:J,A388)/B388)</f>
        <v/>
      </c>
      <c r="D388" s="12" t="str">
        <f>IF(B388=0,"",COUNTIFS('Extração'!O:O,"Sim",'Extração'!J:J,A388)/B388)</f>
        <v/>
      </c>
      <c r="E388" s="12" t="str">
        <f>IF(B388=0,"",COUNTIFS('Extração'!N:N,"Parcialmente",'Extração'!J:J,A388)/B388)</f>
        <v/>
      </c>
      <c r="F388" s="12" t="str">
        <f>IF(B388=0,"",COUNTIFS('Extração'!O:O,"Parcialmente",'Extração'!J:J,A388)/B388)</f>
        <v/>
      </c>
      <c r="G388" s="12" t="str">
        <f>IF(B388=0,"",COUNTIFS('Extração'!N:N,"Não",'Extração'!J:J,A388)/B388)</f>
        <v/>
      </c>
      <c r="H388" s="12" t="str">
        <f>IF(B388=0,"",COUNTIFS('Extração'!O:O,"Não",'Extração'!J:J,A388)/B388)</f>
        <v/>
      </c>
      <c r="I388" s="12" t="str">
        <f>IF(B388=0,"",COUNTIFS('Extração'!P:P,"Igual",'Extração'!J:J,A388)/B388)</f>
        <v/>
      </c>
    </row>
    <row r="389">
      <c r="B389" s="12">
        <f>COUNTIF('Extração'!J:J,A389)</f>
        <v>0</v>
      </c>
      <c r="C389" s="12" t="str">
        <f>IF(B389=0,"",COUNTIFS('Extração'!N:N,"Sim",'Extração'!J:J,A389)/B389)</f>
        <v/>
      </c>
      <c r="D389" s="12" t="str">
        <f>IF(B389=0,"",COUNTIFS('Extração'!O:O,"Sim",'Extração'!J:J,A389)/B389)</f>
        <v/>
      </c>
      <c r="E389" s="12" t="str">
        <f>IF(B389=0,"",COUNTIFS('Extração'!N:N,"Parcialmente",'Extração'!J:J,A389)/B389)</f>
        <v/>
      </c>
      <c r="F389" s="12" t="str">
        <f>IF(B389=0,"",COUNTIFS('Extração'!O:O,"Parcialmente",'Extração'!J:J,A389)/B389)</f>
        <v/>
      </c>
      <c r="G389" s="12" t="str">
        <f>IF(B389=0,"",COUNTIFS('Extração'!N:N,"Não",'Extração'!J:J,A389)/B389)</f>
        <v/>
      </c>
      <c r="H389" s="12" t="str">
        <f>IF(B389=0,"",COUNTIFS('Extração'!O:O,"Não",'Extração'!J:J,A389)/B389)</f>
        <v/>
      </c>
      <c r="I389" s="12" t="str">
        <f>IF(B389=0,"",COUNTIFS('Extração'!P:P,"Igual",'Extração'!J:J,A389)/B389)</f>
        <v/>
      </c>
    </row>
    <row r="390">
      <c r="B390" s="12">
        <f>COUNTIF('Extração'!J:J,A390)</f>
        <v>0</v>
      </c>
      <c r="C390" s="12" t="str">
        <f>IF(B390=0,"",COUNTIFS('Extração'!N:N,"Sim",'Extração'!J:J,A390)/B390)</f>
        <v/>
      </c>
      <c r="D390" s="12" t="str">
        <f>IF(B390=0,"",COUNTIFS('Extração'!O:O,"Sim",'Extração'!J:J,A390)/B390)</f>
        <v/>
      </c>
      <c r="E390" s="12" t="str">
        <f>IF(B390=0,"",COUNTIFS('Extração'!N:N,"Parcialmente",'Extração'!J:J,A390)/B390)</f>
        <v/>
      </c>
      <c r="F390" s="12" t="str">
        <f>IF(B390=0,"",COUNTIFS('Extração'!O:O,"Parcialmente",'Extração'!J:J,A390)/B390)</f>
        <v/>
      </c>
      <c r="G390" s="12" t="str">
        <f>IF(B390=0,"",COUNTIFS('Extração'!N:N,"Não",'Extração'!J:J,A390)/B390)</f>
        <v/>
      </c>
      <c r="H390" s="12" t="str">
        <f>IF(B390=0,"",COUNTIFS('Extração'!O:O,"Não",'Extração'!J:J,A390)/B390)</f>
        <v/>
      </c>
      <c r="I390" s="12" t="str">
        <f>IF(B390=0,"",COUNTIFS('Extração'!P:P,"Igual",'Extração'!J:J,A390)/B390)</f>
        <v/>
      </c>
    </row>
    <row r="391">
      <c r="B391" s="12">
        <f>COUNTIF('Extração'!J:J,A391)</f>
        <v>0</v>
      </c>
      <c r="C391" s="12" t="str">
        <f>IF(B391=0,"",COUNTIFS('Extração'!N:N,"Sim",'Extração'!J:J,A391)/B391)</f>
        <v/>
      </c>
      <c r="D391" s="12" t="str">
        <f>IF(B391=0,"",COUNTIFS('Extração'!O:O,"Sim",'Extração'!J:J,A391)/B391)</f>
        <v/>
      </c>
      <c r="E391" s="12" t="str">
        <f>IF(B391=0,"",COUNTIFS('Extração'!N:N,"Parcialmente",'Extração'!J:J,A391)/B391)</f>
        <v/>
      </c>
      <c r="F391" s="12" t="str">
        <f>IF(B391=0,"",COUNTIFS('Extração'!O:O,"Parcialmente",'Extração'!J:J,A391)/B391)</f>
        <v/>
      </c>
      <c r="G391" s="12" t="str">
        <f>IF(B391=0,"",COUNTIFS('Extração'!N:N,"Não",'Extração'!J:J,A391)/B391)</f>
        <v/>
      </c>
      <c r="H391" s="12" t="str">
        <f>IF(B391=0,"",COUNTIFS('Extração'!O:O,"Não",'Extração'!J:J,A391)/B391)</f>
        <v/>
      </c>
      <c r="I391" s="12" t="str">
        <f>IF(B391=0,"",COUNTIFS('Extração'!P:P,"Igual",'Extração'!J:J,A391)/B391)</f>
        <v/>
      </c>
    </row>
    <row r="392">
      <c r="B392" s="12">
        <f>COUNTIF('Extração'!J:J,A392)</f>
        <v>0</v>
      </c>
      <c r="C392" s="12" t="str">
        <f>IF(B392=0,"",COUNTIFS('Extração'!N:N,"Sim",'Extração'!J:J,A392)/B392)</f>
        <v/>
      </c>
      <c r="D392" s="12" t="str">
        <f>IF(B392=0,"",COUNTIFS('Extração'!O:O,"Sim",'Extração'!J:J,A392)/B392)</f>
        <v/>
      </c>
      <c r="E392" s="12" t="str">
        <f>IF(B392=0,"",COUNTIFS('Extração'!N:N,"Parcialmente",'Extração'!J:J,A392)/B392)</f>
        <v/>
      </c>
      <c r="F392" s="12" t="str">
        <f>IF(B392=0,"",COUNTIFS('Extração'!O:O,"Parcialmente",'Extração'!J:J,A392)/B392)</f>
        <v/>
      </c>
      <c r="G392" s="12" t="str">
        <f>IF(B392=0,"",COUNTIFS('Extração'!N:N,"Não",'Extração'!J:J,A392)/B392)</f>
        <v/>
      </c>
      <c r="H392" s="12" t="str">
        <f>IF(B392=0,"",COUNTIFS('Extração'!O:O,"Não",'Extração'!J:J,A392)/B392)</f>
        <v/>
      </c>
      <c r="I392" s="12" t="str">
        <f>IF(B392=0,"",COUNTIFS('Extração'!P:P,"Igual",'Extração'!J:J,A392)/B392)</f>
        <v/>
      </c>
    </row>
    <row r="393">
      <c r="B393" s="12">
        <f>COUNTIF('Extração'!J:J,A393)</f>
        <v>0</v>
      </c>
      <c r="C393" s="12" t="str">
        <f>IF(B393=0,"",COUNTIFS('Extração'!N:N,"Sim",'Extração'!J:J,A393)/B393)</f>
        <v/>
      </c>
      <c r="D393" s="12" t="str">
        <f>IF(B393=0,"",COUNTIFS('Extração'!O:O,"Sim",'Extração'!J:J,A393)/B393)</f>
        <v/>
      </c>
      <c r="E393" s="12" t="str">
        <f>IF(B393=0,"",COUNTIFS('Extração'!N:N,"Parcialmente",'Extração'!J:J,A393)/B393)</f>
        <v/>
      </c>
      <c r="F393" s="12" t="str">
        <f>IF(B393=0,"",COUNTIFS('Extração'!O:O,"Parcialmente",'Extração'!J:J,A393)/B393)</f>
        <v/>
      </c>
      <c r="G393" s="12" t="str">
        <f>IF(B393=0,"",COUNTIFS('Extração'!N:N,"Não",'Extração'!J:J,A393)/B393)</f>
        <v/>
      </c>
      <c r="H393" s="12" t="str">
        <f>IF(B393=0,"",COUNTIFS('Extração'!O:O,"Não",'Extração'!J:J,A393)/B393)</f>
        <v/>
      </c>
      <c r="I393" s="12" t="str">
        <f>IF(B393=0,"",COUNTIFS('Extração'!P:P,"Igual",'Extração'!J:J,A393)/B393)</f>
        <v/>
      </c>
    </row>
    <row r="394">
      <c r="B394" s="12">
        <f>COUNTIF('Extração'!J:J,A394)</f>
        <v>0</v>
      </c>
      <c r="C394" s="12" t="str">
        <f>IF(B394=0,"",COUNTIFS('Extração'!N:N,"Sim",'Extração'!J:J,A394)/B394)</f>
        <v/>
      </c>
      <c r="D394" s="12" t="str">
        <f>IF(B394=0,"",COUNTIFS('Extração'!O:O,"Sim",'Extração'!J:J,A394)/B394)</f>
        <v/>
      </c>
      <c r="E394" s="12" t="str">
        <f>IF(B394=0,"",COUNTIFS('Extração'!N:N,"Parcialmente",'Extração'!J:J,A394)/B394)</f>
        <v/>
      </c>
      <c r="F394" s="12" t="str">
        <f>IF(B394=0,"",COUNTIFS('Extração'!O:O,"Parcialmente",'Extração'!J:J,A394)/B394)</f>
        <v/>
      </c>
      <c r="G394" s="12" t="str">
        <f>IF(B394=0,"",COUNTIFS('Extração'!N:N,"Não",'Extração'!J:J,A394)/B394)</f>
        <v/>
      </c>
      <c r="H394" s="12" t="str">
        <f>IF(B394=0,"",COUNTIFS('Extração'!O:O,"Não",'Extração'!J:J,A394)/B394)</f>
        <v/>
      </c>
      <c r="I394" s="12" t="str">
        <f>IF(B394=0,"",COUNTIFS('Extração'!P:P,"Igual",'Extração'!J:J,A394)/B394)</f>
        <v/>
      </c>
    </row>
    <row r="395">
      <c r="B395" s="12">
        <f>COUNTIF('Extração'!J:J,A395)</f>
        <v>0</v>
      </c>
      <c r="C395" s="12" t="str">
        <f>IF(B395=0,"",COUNTIFS('Extração'!N:N,"Sim",'Extração'!J:J,A395)/B395)</f>
        <v/>
      </c>
      <c r="D395" s="12" t="str">
        <f>IF(B395=0,"",COUNTIFS('Extração'!O:O,"Sim",'Extração'!J:J,A395)/B395)</f>
        <v/>
      </c>
      <c r="E395" s="12" t="str">
        <f>IF(B395=0,"",COUNTIFS('Extração'!N:N,"Parcialmente",'Extração'!J:J,A395)/B395)</f>
        <v/>
      </c>
      <c r="F395" s="12" t="str">
        <f>IF(B395=0,"",COUNTIFS('Extração'!O:O,"Parcialmente",'Extração'!J:J,A395)/B395)</f>
        <v/>
      </c>
      <c r="G395" s="12" t="str">
        <f>IF(B395=0,"",COUNTIFS('Extração'!N:N,"Não",'Extração'!J:J,A395)/B395)</f>
        <v/>
      </c>
      <c r="H395" s="12" t="str">
        <f>IF(B395=0,"",COUNTIFS('Extração'!O:O,"Não",'Extração'!J:J,A395)/B395)</f>
        <v/>
      </c>
      <c r="I395" s="12" t="str">
        <f>IF(B395=0,"",COUNTIFS('Extração'!P:P,"Igual",'Extração'!J:J,A395)/B395)</f>
        <v/>
      </c>
    </row>
    <row r="396">
      <c r="B396" s="12">
        <f>COUNTIF('Extração'!J:J,A396)</f>
        <v>0</v>
      </c>
      <c r="C396" s="12" t="str">
        <f>IF(B396=0,"",COUNTIFS('Extração'!N:N,"Sim",'Extração'!J:J,A396)/B396)</f>
        <v/>
      </c>
      <c r="D396" s="12" t="str">
        <f>IF(B396=0,"",COUNTIFS('Extração'!O:O,"Sim",'Extração'!J:J,A396)/B396)</f>
        <v/>
      </c>
      <c r="E396" s="12" t="str">
        <f>IF(B396=0,"",COUNTIFS('Extração'!N:N,"Parcialmente",'Extração'!J:J,A396)/B396)</f>
        <v/>
      </c>
      <c r="F396" s="12" t="str">
        <f>IF(B396=0,"",COUNTIFS('Extração'!O:O,"Parcialmente",'Extração'!J:J,A396)/B396)</f>
        <v/>
      </c>
      <c r="G396" s="12" t="str">
        <f>IF(B396=0,"",COUNTIFS('Extração'!N:N,"Não",'Extração'!J:J,A396)/B396)</f>
        <v/>
      </c>
      <c r="H396" s="12" t="str">
        <f>IF(B396=0,"",COUNTIFS('Extração'!O:O,"Não",'Extração'!J:J,A396)/B396)</f>
        <v/>
      </c>
      <c r="I396" s="12" t="str">
        <f>IF(B396=0,"",COUNTIFS('Extração'!P:P,"Igual",'Extração'!J:J,A396)/B396)</f>
        <v/>
      </c>
    </row>
    <row r="397">
      <c r="B397" s="12">
        <f>COUNTIF('Extração'!J:J,A397)</f>
        <v>0</v>
      </c>
      <c r="C397" s="12" t="str">
        <f>IF(B397=0,"",COUNTIFS('Extração'!N:N,"Sim",'Extração'!J:J,A397)/B397)</f>
        <v/>
      </c>
      <c r="D397" s="12" t="str">
        <f>IF(B397=0,"",COUNTIFS('Extração'!O:O,"Sim",'Extração'!J:J,A397)/B397)</f>
        <v/>
      </c>
      <c r="E397" s="12" t="str">
        <f>IF(B397=0,"",COUNTIFS('Extração'!N:N,"Parcialmente",'Extração'!J:J,A397)/B397)</f>
        <v/>
      </c>
      <c r="F397" s="12" t="str">
        <f>IF(B397=0,"",COUNTIFS('Extração'!O:O,"Parcialmente",'Extração'!J:J,A397)/B397)</f>
        <v/>
      </c>
      <c r="G397" s="12" t="str">
        <f>IF(B397=0,"",COUNTIFS('Extração'!N:N,"Não",'Extração'!J:J,A397)/B397)</f>
        <v/>
      </c>
      <c r="H397" s="12" t="str">
        <f>IF(B397=0,"",COUNTIFS('Extração'!O:O,"Não",'Extração'!J:J,A397)/B397)</f>
        <v/>
      </c>
      <c r="I397" s="12" t="str">
        <f>IF(B397=0,"",COUNTIFS('Extração'!P:P,"Igual",'Extração'!J:J,A397)/B397)</f>
        <v/>
      </c>
    </row>
    <row r="398">
      <c r="B398" s="12">
        <f>COUNTIF('Extração'!J:J,A398)</f>
        <v>0</v>
      </c>
      <c r="C398" s="12" t="str">
        <f>IF(B398=0,"",COUNTIFS('Extração'!N:N,"Sim",'Extração'!J:J,A398)/B398)</f>
        <v/>
      </c>
      <c r="D398" s="12" t="str">
        <f>IF(B398=0,"",COUNTIFS('Extração'!O:O,"Sim",'Extração'!J:J,A398)/B398)</f>
        <v/>
      </c>
      <c r="E398" s="12" t="str">
        <f>IF(B398=0,"",COUNTIFS('Extração'!N:N,"Parcialmente",'Extração'!J:J,A398)/B398)</f>
        <v/>
      </c>
      <c r="F398" s="12" t="str">
        <f>IF(B398=0,"",COUNTIFS('Extração'!O:O,"Parcialmente",'Extração'!J:J,A398)/B398)</f>
        <v/>
      </c>
      <c r="G398" s="12" t="str">
        <f>IF(B398=0,"",COUNTIFS('Extração'!N:N,"Não",'Extração'!J:J,A398)/B398)</f>
        <v/>
      </c>
      <c r="H398" s="12" t="str">
        <f>IF(B398=0,"",COUNTIFS('Extração'!O:O,"Não",'Extração'!J:J,A398)/B398)</f>
        <v/>
      </c>
      <c r="I398" s="12" t="str">
        <f>IF(B398=0,"",COUNTIFS('Extração'!P:P,"Igual",'Extração'!J:J,A398)/B398)</f>
        <v/>
      </c>
    </row>
    <row r="399">
      <c r="B399" s="12">
        <f>COUNTIF('Extração'!J:J,A399)</f>
        <v>0</v>
      </c>
      <c r="C399" s="12" t="str">
        <f>IF(B399=0,"",COUNTIFS('Extração'!N:N,"Sim",'Extração'!J:J,A399)/B399)</f>
        <v/>
      </c>
      <c r="D399" s="12" t="str">
        <f>IF(B399=0,"",COUNTIFS('Extração'!O:O,"Sim",'Extração'!J:J,A399)/B399)</f>
        <v/>
      </c>
      <c r="E399" s="12" t="str">
        <f>IF(B399=0,"",COUNTIFS('Extração'!N:N,"Parcialmente",'Extração'!J:J,A399)/B399)</f>
        <v/>
      </c>
      <c r="F399" s="12" t="str">
        <f>IF(B399=0,"",COUNTIFS('Extração'!O:O,"Parcialmente",'Extração'!J:J,A399)/B399)</f>
        <v/>
      </c>
      <c r="G399" s="12" t="str">
        <f>IF(B399=0,"",COUNTIFS('Extração'!N:N,"Não",'Extração'!J:J,A399)/B399)</f>
        <v/>
      </c>
      <c r="H399" s="12" t="str">
        <f>IF(B399=0,"",COUNTIFS('Extração'!O:O,"Não",'Extração'!J:J,A399)/B399)</f>
        <v/>
      </c>
      <c r="I399" s="12" t="str">
        <f>IF(B399=0,"",COUNTIFS('Extração'!P:P,"Igual",'Extração'!J:J,A399)/B399)</f>
        <v/>
      </c>
    </row>
    <row r="400">
      <c r="B400" s="12">
        <f>COUNTIF('Extração'!J:J,A400)</f>
        <v>0</v>
      </c>
      <c r="C400" s="12" t="str">
        <f>IF(B400=0,"",COUNTIFS('Extração'!N:N,"Sim",'Extração'!J:J,A400)/B400)</f>
        <v/>
      </c>
      <c r="D400" s="12" t="str">
        <f>IF(B400=0,"",COUNTIFS('Extração'!O:O,"Sim",'Extração'!J:J,A400)/B400)</f>
        <v/>
      </c>
      <c r="E400" s="12" t="str">
        <f>IF(B400=0,"",COUNTIFS('Extração'!N:N,"Parcialmente",'Extração'!J:J,A400)/B400)</f>
        <v/>
      </c>
      <c r="F400" s="12" t="str">
        <f>IF(B400=0,"",COUNTIFS('Extração'!O:O,"Parcialmente",'Extração'!J:J,A400)/B400)</f>
        <v/>
      </c>
      <c r="G400" s="12" t="str">
        <f>IF(B400=0,"",COUNTIFS('Extração'!N:N,"Não",'Extração'!J:J,A400)/B400)</f>
        <v/>
      </c>
      <c r="H400" s="12" t="str">
        <f>IF(B400=0,"",COUNTIFS('Extração'!O:O,"Não",'Extração'!J:J,A400)/B400)</f>
        <v/>
      </c>
      <c r="I400" s="12" t="str">
        <f>IF(B400=0,"",COUNTIFS('Extração'!P:P,"Igual",'Extração'!J:J,A400)/B400)</f>
        <v/>
      </c>
    </row>
    <row r="401">
      <c r="B401" s="12">
        <f>COUNTIF('Extração'!J:J,A401)</f>
        <v>0</v>
      </c>
      <c r="C401" s="12" t="str">
        <f>IF(B401=0,"",COUNTIFS('Extração'!N:N,"Sim",'Extração'!J:J,A401)/B401)</f>
        <v/>
      </c>
      <c r="D401" s="12" t="str">
        <f>IF(B401=0,"",COUNTIFS('Extração'!O:O,"Sim",'Extração'!J:J,A401)/B401)</f>
        <v/>
      </c>
      <c r="E401" s="12" t="str">
        <f>IF(B401=0,"",COUNTIFS('Extração'!N:N,"Parcialmente",'Extração'!J:J,A401)/B401)</f>
        <v/>
      </c>
      <c r="F401" s="12" t="str">
        <f>IF(B401=0,"",COUNTIFS('Extração'!O:O,"Parcialmente",'Extração'!J:J,A401)/B401)</f>
        <v/>
      </c>
      <c r="G401" s="12" t="str">
        <f>IF(B401=0,"",COUNTIFS('Extração'!N:N,"Não",'Extração'!J:J,A401)/B401)</f>
        <v/>
      </c>
      <c r="H401" s="12" t="str">
        <f>IF(B401=0,"",COUNTIFS('Extração'!O:O,"Não",'Extração'!J:J,A401)/B401)</f>
        <v/>
      </c>
      <c r="I401" s="12" t="str">
        <f>IF(B401=0,"",COUNTIFS('Extração'!P:P,"Igual",'Extração'!J:J,A401)/B401)</f>
        <v/>
      </c>
    </row>
    <row r="402">
      <c r="B402" s="12">
        <f>COUNTIF('Extração'!J:J,A402)</f>
        <v>0</v>
      </c>
      <c r="C402" s="12" t="str">
        <f>IF(B402=0,"",COUNTIFS('Extração'!N:N,"Sim",'Extração'!J:J,A402)/B402)</f>
        <v/>
      </c>
      <c r="D402" s="12" t="str">
        <f>IF(B402=0,"",COUNTIFS('Extração'!O:O,"Sim",'Extração'!J:J,A402)/B402)</f>
        <v/>
      </c>
      <c r="E402" s="12" t="str">
        <f>IF(B402=0,"",COUNTIFS('Extração'!N:N,"Parcialmente",'Extração'!J:J,A402)/B402)</f>
        <v/>
      </c>
      <c r="F402" s="12" t="str">
        <f>IF(B402=0,"",COUNTIFS('Extração'!O:O,"Parcialmente",'Extração'!J:J,A402)/B402)</f>
        <v/>
      </c>
      <c r="G402" s="12" t="str">
        <f>IF(B402=0,"",COUNTIFS('Extração'!N:N,"Não",'Extração'!J:J,A402)/B402)</f>
        <v/>
      </c>
      <c r="H402" s="12" t="str">
        <f>IF(B402=0,"",COUNTIFS('Extração'!O:O,"Não",'Extração'!J:J,A402)/B402)</f>
        <v/>
      </c>
      <c r="I402" s="12" t="str">
        <f>IF(B402=0,"",COUNTIFS('Extração'!P:P,"Igual",'Extração'!J:J,A402)/B402)</f>
        <v/>
      </c>
    </row>
    <row r="403">
      <c r="B403" s="12">
        <f>COUNTIF('Extração'!J:J,A403)</f>
        <v>0</v>
      </c>
      <c r="C403" s="12" t="str">
        <f>IF(B403=0,"",COUNTIFS('Extração'!N:N,"Sim",'Extração'!J:J,A403)/B403)</f>
        <v/>
      </c>
      <c r="D403" s="12" t="str">
        <f>IF(B403=0,"",COUNTIFS('Extração'!O:O,"Sim",'Extração'!J:J,A403)/B403)</f>
        <v/>
      </c>
      <c r="E403" s="12" t="str">
        <f>IF(B403=0,"",COUNTIFS('Extração'!N:N,"Parcialmente",'Extração'!J:J,A403)/B403)</f>
        <v/>
      </c>
      <c r="F403" s="12" t="str">
        <f>IF(B403=0,"",COUNTIFS('Extração'!O:O,"Parcialmente",'Extração'!J:J,A403)/B403)</f>
        <v/>
      </c>
      <c r="G403" s="12" t="str">
        <f>IF(B403=0,"",COUNTIFS('Extração'!N:N,"Não",'Extração'!J:J,A403)/B403)</f>
        <v/>
      </c>
      <c r="H403" s="12" t="str">
        <f>IF(B403=0,"",COUNTIFS('Extração'!O:O,"Não",'Extração'!J:J,A403)/B403)</f>
        <v/>
      </c>
      <c r="I403" s="12" t="str">
        <f>IF(B403=0,"",COUNTIFS('Extração'!P:P,"Igual",'Extração'!J:J,A403)/B403)</f>
        <v/>
      </c>
    </row>
    <row r="404">
      <c r="B404" s="12">
        <f>COUNTIF('Extração'!J:J,A404)</f>
        <v>0</v>
      </c>
      <c r="C404" s="12" t="str">
        <f>IF(B404=0,"",COUNTIFS('Extração'!N:N,"Sim",'Extração'!J:J,A404)/B404)</f>
        <v/>
      </c>
      <c r="D404" s="12" t="str">
        <f>IF(B404=0,"",COUNTIFS('Extração'!O:O,"Sim",'Extração'!J:J,A404)/B404)</f>
        <v/>
      </c>
      <c r="E404" s="12" t="str">
        <f>IF(B404=0,"",COUNTIFS('Extração'!N:N,"Parcialmente",'Extração'!J:J,A404)/B404)</f>
        <v/>
      </c>
      <c r="F404" s="12" t="str">
        <f>IF(B404=0,"",COUNTIFS('Extração'!O:O,"Parcialmente",'Extração'!J:J,A404)/B404)</f>
        <v/>
      </c>
      <c r="G404" s="12" t="str">
        <f>IF(B404=0,"",COUNTIFS('Extração'!N:N,"Não",'Extração'!J:J,A404)/B404)</f>
        <v/>
      </c>
      <c r="H404" s="12" t="str">
        <f>IF(B404=0,"",COUNTIFS('Extração'!O:O,"Não",'Extração'!J:J,A404)/B404)</f>
        <v/>
      </c>
      <c r="I404" s="12" t="str">
        <f>IF(B404=0,"",COUNTIFS('Extração'!P:P,"Igual",'Extração'!J:J,A404)/B404)</f>
        <v/>
      </c>
    </row>
    <row r="405">
      <c r="B405" s="12">
        <f>COUNTIF('Extração'!J:J,A405)</f>
        <v>0</v>
      </c>
      <c r="C405" s="12" t="str">
        <f>IF(B405=0,"",COUNTIFS('Extração'!N:N,"Sim",'Extração'!J:J,A405)/B405)</f>
        <v/>
      </c>
      <c r="D405" s="12" t="str">
        <f>IF(B405=0,"",COUNTIFS('Extração'!O:O,"Sim",'Extração'!J:J,A405)/B405)</f>
        <v/>
      </c>
      <c r="E405" s="12" t="str">
        <f>IF(B405=0,"",COUNTIFS('Extração'!N:N,"Parcialmente",'Extração'!J:J,A405)/B405)</f>
        <v/>
      </c>
      <c r="F405" s="12" t="str">
        <f>IF(B405=0,"",COUNTIFS('Extração'!O:O,"Parcialmente",'Extração'!J:J,A405)/B405)</f>
        <v/>
      </c>
      <c r="G405" s="12" t="str">
        <f>IF(B405=0,"",COUNTIFS('Extração'!N:N,"Não",'Extração'!J:J,A405)/B405)</f>
        <v/>
      </c>
      <c r="H405" s="12" t="str">
        <f>IF(B405=0,"",COUNTIFS('Extração'!O:O,"Não",'Extração'!J:J,A405)/B405)</f>
        <v/>
      </c>
      <c r="I405" s="12" t="str">
        <f>IF(B405=0,"",COUNTIFS('Extração'!P:P,"Igual",'Extração'!J:J,A405)/B405)</f>
        <v/>
      </c>
    </row>
    <row r="406">
      <c r="B406" s="12">
        <f>COUNTIF('Extração'!J:J,A406)</f>
        <v>0</v>
      </c>
      <c r="C406" s="12" t="str">
        <f>IF(B406=0,"",COUNTIFS('Extração'!N:N,"Sim",'Extração'!J:J,A406)/B406)</f>
        <v/>
      </c>
      <c r="D406" s="12" t="str">
        <f>IF(B406=0,"",COUNTIFS('Extração'!O:O,"Sim",'Extração'!J:J,A406)/B406)</f>
        <v/>
      </c>
      <c r="E406" s="12" t="str">
        <f>IF(B406=0,"",COUNTIFS('Extração'!N:N,"Parcialmente",'Extração'!J:J,A406)/B406)</f>
        <v/>
      </c>
      <c r="F406" s="12" t="str">
        <f>IF(B406=0,"",COUNTIFS('Extração'!O:O,"Parcialmente",'Extração'!J:J,A406)/B406)</f>
        <v/>
      </c>
      <c r="G406" s="12" t="str">
        <f>IF(B406=0,"",COUNTIFS('Extração'!N:N,"Não",'Extração'!J:J,A406)/B406)</f>
        <v/>
      </c>
      <c r="H406" s="12" t="str">
        <f>IF(B406=0,"",COUNTIFS('Extração'!O:O,"Não",'Extração'!J:J,A406)/B406)</f>
        <v/>
      </c>
      <c r="I406" s="12" t="str">
        <f>IF(B406=0,"",COUNTIFS('Extração'!P:P,"Igual",'Extração'!J:J,A406)/B406)</f>
        <v/>
      </c>
    </row>
    <row r="407">
      <c r="B407" s="12">
        <f>COUNTIF('Extração'!J:J,A407)</f>
        <v>0</v>
      </c>
      <c r="C407" s="12" t="str">
        <f>IF(B407=0,"",COUNTIFS('Extração'!N:N,"Sim",'Extração'!J:J,A407)/B407)</f>
        <v/>
      </c>
      <c r="D407" s="12" t="str">
        <f>IF(B407=0,"",COUNTIFS('Extração'!O:O,"Sim",'Extração'!J:J,A407)/B407)</f>
        <v/>
      </c>
      <c r="E407" s="12" t="str">
        <f>IF(B407=0,"",COUNTIFS('Extração'!N:N,"Parcialmente",'Extração'!J:J,A407)/B407)</f>
        <v/>
      </c>
      <c r="F407" s="12" t="str">
        <f>IF(B407=0,"",COUNTIFS('Extração'!O:O,"Parcialmente",'Extração'!J:J,A407)/B407)</f>
        <v/>
      </c>
      <c r="G407" s="12" t="str">
        <f>IF(B407=0,"",COUNTIFS('Extração'!N:N,"Não",'Extração'!J:J,A407)/B407)</f>
        <v/>
      </c>
      <c r="H407" s="12" t="str">
        <f>IF(B407=0,"",COUNTIFS('Extração'!O:O,"Não",'Extração'!J:J,A407)/B407)</f>
        <v/>
      </c>
      <c r="I407" s="12" t="str">
        <f>IF(B407=0,"",COUNTIFS('Extração'!P:P,"Igual",'Extração'!J:J,A407)/B407)</f>
        <v/>
      </c>
    </row>
    <row r="408">
      <c r="B408" s="12">
        <f>COUNTIF('Extração'!J:J,A408)</f>
        <v>0</v>
      </c>
      <c r="C408" s="12" t="str">
        <f>IF(B408=0,"",COUNTIFS('Extração'!N:N,"Sim",'Extração'!J:J,A408)/B408)</f>
        <v/>
      </c>
      <c r="D408" s="12" t="str">
        <f>IF(B408=0,"",COUNTIFS('Extração'!O:O,"Sim",'Extração'!J:J,A408)/B408)</f>
        <v/>
      </c>
      <c r="E408" s="12" t="str">
        <f>IF(B408=0,"",COUNTIFS('Extração'!N:N,"Parcialmente",'Extração'!J:J,A408)/B408)</f>
        <v/>
      </c>
      <c r="F408" s="12" t="str">
        <f>IF(B408=0,"",COUNTIFS('Extração'!O:O,"Parcialmente",'Extração'!J:J,A408)/B408)</f>
        <v/>
      </c>
      <c r="G408" s="12" t="str">
        <f>IF(B408=0,"",COUNTIFS('Extração'!N:N,"Não",'Extração'!J:J,A408)/B408)</f>
        <v/>
      </c>
      <c r="H408" s="12" t="str">
        <f>IF(B408=0,"",COUNTIFS('Extração'!O:O,"Não",'Extração'!J:J,A408)/B408)</f>
        <v/>
      </c>
      <c r="I408" s="12" t="str">
        <f>IF(B408=0,"",COUNTIFS('Extração'!P:P,"Igual",'Extração'!J:J,A408)/B408)</f>
        <v/>
      </c>
    </row>
    <row r="409">
      <c r="B409" s="12">
        <f>COUNTIF('Extração'!J:J,A409)</f>
        <v>0</v>
      </c>
      <c r="C409" s="12" t="str">
        <f>IF(B409=0,"",COUNTIFS('Extração'!N:N,"Sim",'Extração'!J:J,A409)/B409)</f>
        <v/>
      </c>
      <c r="D409" s="12" t="str">
        <f>IF(B409=0,"",COUNTIFS('Extração'!O:O,"Sim",'Extração'!J:J,A409)/B409)</f>
        <v/>
      </c>
      <c r="E409" s="12" t="str">
        <f>IF(B409=0,"",COUNTIFS('Extração'!N:N,"Parcialmente",'Extração'!J:J,A409)/B409)</f>
        <v/>
      </c>
      <c r="F409" s="12" t="str">
        <f>IF(B409=0,"",COUNTIFS('Extração'!O:O,"Parcialmente",'Extração'!J:J,A409)/B409)</f>
        <v/>
      </c>
      <c r="G409" s="12" t="str">
        <f>IF(B409=0,"",COUNTIFS('Extração'!N:N,"Não",'Extração'!J:J,A409)/B409)</f>
        <v/>
      </c>
      <c r="H409" s="12" t="str">
        <f>IF(B409=0,"",COUNTIFS('Extração'!O:O,"Não",'Extração'!J:J,A409)/B409)</f>
        <v/>
      </c>
      <c r="I409" s="12" t="str">
        <f>IF(B409=0,"",COUNTIFS('Extração'!P:P,"Igual",'Extração'!J:J,A409)/B409)</f>
        <v/>
      </c>
    </row>
    <row r="410">
      <c r="B410" s="12">
        <f>COUNTIF('Extração'!J:J,A410)</f>
        <v>0</v>
      </c>
      <c r="C410" s="12" t="str">
        <f>IF(B410=0,"",COUNTIFS('Extração'!N:N,"Sim",'Extração'!J:J,A410)/B410)</f>
        <v/>
      </c>
      <c r="D410" s="12" t="str">
        <f>IF(B410=0,"",COUNTIFS('Extração'!O:O,"Sim",'Extração'!J:J,A410)/B410)</f>
        <v/>
      </c>
      <c r="E410" s="12" t="str">
        <f>IF(B410=0,"",COUNTIFS('Extração'!N:N,"Parcialmente",'Extração'!J:J,A410)/B410)</f>
        <v/>
      </c>
      <c r="F410" s="12" t="str">
        <f>IF(B410=0,"",COUNTIFS('Extração'!O:O,"Parcialmente",'Extração'!J:J,A410)/B410)</f>
        <v/>
      </c>
      <c r="G410" s="12" t="str">
        <f>IF(B410=0,"",COUNTIFS('Extração'!N:N,"Não",'Extração'!J:J,A410)/B410)</f>
        <v/>
      </c>
      <c r="H410" s="12" t="str">
        <f>IF(B410=0,"",COUNTIFS('Extração'!O:O,"Não",'Extração'!J:J,A410)/B410)</f>
        <v/>
      </c>
      <c r="I410" s="12" t="str">
        <f>IF(B410=0,"",COUNTIFS('Extração'!P:P,"Igual",'Extração'!J:J,A410)/B410)</f>
        <v/>
      </c>
    </row>
    <row r="411">
      <c r="B411" s="12">
        <f>COUNTIF('Extração'!J:J,A411)</f>
        <v>0</v>
      </c>
      <c r="C411" s="12" t="str">
        <f>IF(B411=0,"",COUNTIFS('Extração'!N:N,"Sim",'Extração'!J:J,A411)/B411)</f>
        <v/>
      </c>
      <c r="D411" s="12" t="str">
        <f>IF(B411=0,"",COUNTIFS('Extração'!O:O,"Sim",'Extração'!J:J,A411)/B411)</f>
        <v/>
      </c>
      <c r="E411" s="12" t="str">
        <f>IF(B411=0,"",COUNTIFS('Extração'!N:N,"Parcialmente",'Extração'!J:J,A411)/B411)</f>
        <v/>
      </c>
      <c r="F411" s="12" t="str">
        <f>IF(B411=0,"",COUNTIFS('Extração'!O:O,"Parcialmente",'Extração'!J:J,A411)/B411)</f>
        <v/>
      </c>
      <c r="G411" s="12" t="str">
        <f>IF(B411=0,"",COUNTIFS('Extração'!N:N,"Não",'Extração'!J:J,A411)/B411)</f>
        <v/>
      </c>
      <c r="H411" s="12" t="str">
        <f>IF(B411=0,"",COUNTIFS('Extração'!O:O,"Não",'Extração'!J:J,A411)/B411)</f>
        <v/>
      </c>
      <c r="I411" s="12" t="str">
        <f>IF(B411=0,"",COUNTIFS('Extração'!P:P,"Igual",'Extração'!J:J,A411)/B411)</f>
        <v/>
      </c>
    </row>
    <row r="412">
      <c r="B412" s="12">
        <f>COUNTIF('Extração'!J:J,A412)</f>
        <v>0</v>
      </c>
      <c r="C412" s="12" t="str">
        <f>IF(B412=0,"",COUNTIFS('Extração'!N:N,"Sim",'Extração'!J:J,A412)/B412)</f>
        <v/>
      </c>
      <c r="D412" s="12" t="str">
        <f>IF(B412=0,"",COUNTIFS('Extração'!O:O,"Sim",'Extração'!J:J,A412)/B412)</f>
        <v/>
      </c>
      <c r="E412" s="12" t="str">
        <f>IF(B412=0,"",COUNTIFS('Extração'!N:N,"Parcialmente",'Extração'!J:J,A412)/B412)</f>
        <v/>
      </c>
      <c r="F412" s="12" t="str">
        <f>IF(B412=0,"",COUNTIFS('Extração'!O:O,"Parcialmente",'Extração'!J:J,A412)/B412)</f>
        <v/>
      </c>
      <c r="G412" s="12" t="str">
        <f>IF(B412=0,"",COUNTIFS('Extração'!N:N,"Não",'Extração'!J:J,A412)/B412)</f>
        <v/>
      </c>
      <c r="H412" s="12" t="str">
        <f>IF(B412=0,"",COUNTIFS('Extração'!O:O,"Não",'Extração'!J:J,A412)/B412)</f>
        <v/>
      </c>
      <c r="I412" s="12" t="str">
        <f>IF(B412=0,"",COUNTIFS('Extração'!P:P,"Igual",'Extração'!J:J,A412)/B412)</f>
        <v/>
      </c>
    </row>
    <row r="413">
      <c r="B413" s="12">
        <f>COUNTIF('Extração'!J:J,A413)</f>
        <v>0</v>
      </c>
      <c r="C413" s="12" t="str">
        <f>IF(B413=0,"",COUNTIFS('Extração'!N:N,"Sim",'Extração'!J:J,A413)/B413)</f>
        <v/>
      </c>
      <c r="D413" s="12" t="str">
        <f>IF(B413=0,"",COUNTIFS('Extração'!O:O,"Sim",'Extração'!J:J,A413)/B413)</f>
        <v/>
      </c>
      <c r="E413" s="12" t="str">
        <f>IF(B413=0,"",COUNTIFS('Extração'!N:N,"Parcialmente",'Extração'!J:J,A413)/B413)</f>
        <v/>
      </c>
      <c r="F413" s="12" t="str">
        <f>IF(B413=0,"",COUNTIFS('Extração'!O:O,"Parcialmente",'Extração'!J:J,A413)/B413)</f>
        <v/>
      </c>
      <c r="G413" s="12" t="str">
        <f>IF(B413=0,"",COUNTIFS('Extração'!N:N,"Não",'Extração'!J:J,A413)/B413)</f>
        <v/>
      </c>
      <c r="H413" s="12" t="str">
        <f>IF(B413=0,"",COUNTIFS('Extração'!O:O,"Não",'Extração'!J:J,A413)/B413)</f>
        <v/>
      </c>
      <c r="I413" s="12" t="str">
        <f>IF(B413=0,"",COUNTIFS('Extração'!P:P,"Igual",'Extração'!J:J,A413)/B413)</f>
        <v/>
      </c>
    </row>
    <row r="414">
      <c r="B414" s="12">
        <f>COUNTIF('Extração'!J:J,A414)</f>
        <v>0</v>
      </c>
      <c r="C414" s="12" t="str">
        <f>IF(B414=0,"",COUNTIFS('Extração'!N:N,"Sim",'Extração'!J:J,A414)/B414)</f>
        <v/>
      </c>
      <c r="D414" s="12" t="str">
        <f>IF(B414=0,"",COUNTIFS('Extração'!O:O,"Sim",'Extração'!J:J,A414)/B414)</f>
        <v/>
      </c>
      <c r="E414" s="12" t="str">
        <f>IF(B414=0,"",COUNTIFS('Extração'!N:N,"Parcialmente",'Extração'!J:J,A414)/B414)</f>
        <v/>
      </c>
      <c r="F414" s="12" t="str">
        <f>IF(B414=0,"",COUNTIFS('Extração'!O:O,"Parcialmente",'Extração'!J:J,A414)/B414)</f>
        <v/>
      </c>
      <c r="G414" s="12" t="str">
        <f>IF(B414=0,"",COUNTIFS('Extração'!N:N,"Não",'Extração'!J:J,A414)/B414)</f>
        <v/>
      </c>
      <c r="H414" s="12" t="str">
        <f>IF(B414=0,"",COUNTIFS('Extração'!O:O,"Não",'Extração'!J:J,A414)/B414)</f>
        <v/>
      </c>
      <c r="I414" s="12" t="str">
        <f>IF(B414=0,"",COUNTIFS('Extração'!P:P,"Igual",'Extração'!J:J,A414)/B414)</f>
        <v/>
      </c>
    </row>
    <row r="415">
      <c r="B415" s="12">
        <f>COUNTIF('Extração'!J:J,A415)</f>
        <v>0</v>
      </c>
      <c r="C415" s="12" t="str">
        <f>IF(B415=0,"",COUNTIFS('Extração'!N:N,"Sim",'Extração'!J:J,A415)/B415)</f>
        <v/>
      </c>
      <c r="D415" s="12" t="str">
        <f>IF(B415=0,"",COUNTIFS('Extração'!O:O,"Sim",'Extração'!J:J,A415)/B415)</f>
        <v/>
      </c>
      <c r="E415" s="12" t="str">
        <f>IF(B415=0,"",COUNTIFS('Extração'!N:N,"Parcialmente",'Extração'!J:J,A415)/B415)</f>
        <v/>
      </c>
      <c r="F415" s="12" t="str">
        <f>IF(B415=0,"",COUNTIFS('Extração'!O:O,"Parcialmente",'Extração'!J:J,A415)/B415)</f>
        <v/>
      </c>
      <c r="G415" s="12" t="str">
        <f>IF(B415=0,"",COUNTIFS('Extração'!N:N,"Não",'Extração'!J:J,A415)/B415)</f>
        <v/>
      </c>
      <c r="H415" s="12" t="str">
        <f>IF(B415=0,"",COUNTIFS('Extração'!O:O,"Não",'Extração'!J:J,A415)/B415)</f>
        <v/>
      </c>
      <c r="I415" s="12" t="str">
        <f>IF(B415=0,"",COUNTIFS('Extração'!P:P,"Igual",'Extração'!J:J,A415)/B415)</f>
        <v/>
      </c>
    </row>
    <row r="416">
      <c r="B416" s="12">
        <f>COUNTIF('Extração'!J:J,A416)</f>
        <v>0</v>
      </c>
      <c r="C416" s="12" t="str">
        <f>IF(B416=0,"",COUNTIFS('Extração'!N:N,"Sim",'Extração'!J:J,A416)/B416)</f>
        <v/>
      </c>
      <c r="D416" s="12" t="str">
        <f>IF(B416=0,"",COUNTIFS('Extração'!O:O,"Sim",'Extração'!J:J,A416)/B416)</f>
        <v/>
      </c>
      <c r="E416" s="12" t="str">
        <f>IF(B416=0,"",COUNTIFS('Extração'!N:N,"Parcialmente",'Extração'!J:J,A416)/B416)</f>
        <v/>
      </c>
      <c r="F416" s="12" t="str">
        <f>IF(B416=0,"",COUNTIFS('Extração'!O:O,"Parcialmente",'Extração'!J:J,A416)/B416)</f>
        <v/>
      </c>
      <c r="G416" s="12" t="str">
        <f>IF(B416=0,"",COUNTIFS('Extração'!N:N,"Não",'Extração'!J:J,A416)/B416)</f>
        <v/>
      </c>
      <c r="H416" s="12" t="str">
        <f>IF(B416=0,"",COUNTIFS('Extração'!O:O,"Não",'Extração'!J:J,A416)/B416)</f>
        <v/>
      </c>
      <c r="I416" s="12" t="str">
        <f>IF(B416=0,"",COUNTIFS('Extração'!P:P,"Igual",'Extração'!J:J,A416)/B416)</f>
        <v/>
      </c>
    </row>
    <row r="417">
      <c r="B417" s="12">
        <f>COUNTIF('Extração'!J:J,A417)</f>
        <v>0</v>
      </c>
      <c r="C417" s="12" t="str">
        <f>IF(B417=0,"",COUNTIFS('Extração'!N:N,"Sim",'Extração'!J:J,A417)/B417)</f>
        <v/>
      </c>
      <c r="D417" s="12" t="str">
        <f>IF(B417=0,"",COUNTIFS('Extração'!O:O,"Sim",'Extração'!J:J,A417)/B417)</f>
        <v/>
      </c>
      <c r="E417" s="12" t="str">
        <f>IF(B417=0,"",COUNTIFS('Extração'!N:N,"Parcialmente",'Extração'!J:J,A417)/B417)</f>
        <v/>
      </c>
      <c r="F417" s="12" t="str">
        <f>IF(B417=0,"",COUNTIFS('Extração'!O:O,"Parcialmente",'Extração'!J:J,A417)/B417)</f>
        <v/>
      </c>
      <c r="G417" s="12" t="str">
        <f>IF(B417=0,"",COUNTIFS('Extração'!N:N,"Não",'Extração'!J:J,A417)/B417)</f>
        <v/>
      </c>
      <c r="H417" s="12" t="str">
        <f>IF(B417=0,"",COUNTIFS('Extração'!O:O,"Não",'Extração'!J:J,A417)/B417)</f>
        <v/>
      </c>
      <c r="I417" s="12" t="str">
        <f>IF(B417=0,"",COUNTIFS('Extração'!P:P,"Igual",'Extração'!J:J,A417)/B417)</f>
        <v/>
      </c>
    </row>
    <row r="418">
      <c r="B418" s="12">
        <f>COUNTIF('Extração'!J:J,A418)</f>
        <v>0</v>
      </c>
      <c r="C418" s="12" t="str">
        <f>IF(B418=0,"",COUNTIFS('Extração'!N:N,"Sim",'Extração'!J:J,A418)/B418)</f>
        <v/>
      </c>
      <c r="D418" s="12" t="str">
        <f>IF(B418=0,"",COUNTIFS('Extração'!O:O,"Sim",'Extração'!J:J,A418)/B418)</f>
        <v/>
      </c>
      <c r="E418" s="12" t="str">
        <f>IF(B418=0,"",COUNTIFS('Extração'!N:N,"Parcialmente",'Extração'!J:J,A418)/B418)</f>
        <v/>
      </c>
      <c r="F418" s="12" t="str">
        <f>IF(B418=0,"",COUNTIFS('Extração'!O:O,"Parcialmente",'Extração'!J:J,A418)/B418)</f>
        <v/>
      </c>
      <c r="G418" s="12" t="str">
        <f>IF(B418=0,"",COUNTIFS('Extração'!N:N,"Não",'Extração'!J:J,A418)/B418)</f>
        <v/>
      </c>
      <c r="H418" s="12" t="str">
        <f>IF(B418=0,"",COUNTIFS('Extração'!O:O,"Não",'Extração'!J:J,A418)/B418)</f>
        <v/>
      </c>
      <c r="I418" s="12" t="str">
        <f>IF(B418=0,"",COUNTIFS('Extração'!P:P,"Igual",'Extração'!J:J,A418)/B418)</f>
        <v/>
      </c>
    </row>
    <row r="419">
      <c r="B419" s="12">
        <f>COUNTIF('Extração'!J:J,A419)</f>
        <v>0</v>
      </c>
      <c r="C419" s="12" t="str">
        <f>IF(B419=0,"",COUNTIFS('Extração'!N:N,"Sim",'Extração'!J:J,A419)/B419)</f>
        <v/>
      </c>
      <c r="D419" s="12" t="str">
        <f>IF(B419=0,"",COUNTIFS('Extração'!O:O,"Sim",'Extração'!J:J,A419)/B419)</f>
        <v/>
      </c>
      <c r="E419" s="12" t="str">
        <f>IF(B419=0,"",COUNTIFS('Extração'!N:N,"Parcialmente",'Extração'!J:J,A419)/B419)</f>
        <v/>
      </c>
      <c r="F419" s="12" t="str">
        <f>IF(B419=0,"",COUNTIFS('Extração'!O:O,"Parcialmente",'Extração'!J:J,A419)/B419)</f>
        <v/>
      </c>
      <c r="G419" s="12" t="str">
        <f>IF(B419=0,"",COUNTIFS('Extração'!N:N,"Não",'Extração'!J:J,A419)/B419)</f>
        <v/>
      </c>
      <c r="H419" s="12" t="str">
        <f>IF(B419=0,"",COUNTIFS('Extração'!O:O,"Não",'Extração'!J:J,A419)/B419)</f>
        <v/>
      </c>
      <c r="I419" s="12" t="str">
        <f>IF(B419=0,"",COUNTIFS('Extração'!P:P,"Igual",'Extração'!J:J,A419)/B419)</f>
        <v/>
      </c>
    </row>
    <row r="420">
      <c r="B420" s="12">
        <f>COUNTIF('Extração'!J:J,A420)</f>
        <v>0</v>
      </c>
      <c r="C420" s="12" t="str">
        <f>IF(B420=0,"",COUNTIFS('Extração'!N:N,"Sim",'Extração'!J:J,A420)/B420)</f>
        <v/>
      </c>
      <c r="D420" s="12" t="str">
        <f>IF(B420=0,"",COUNTIFS('Extração'!O:O,"Sim",'Extração'!J:J,A420)/B420)</f>
        <v/>
      </c>
      <c r="E420" s="12" t="str">
        <f>IF(B420=0,"",COUNTIFS('Extração'!N:N,"Parcialmente",'Extração'!J:J,A420)/B420)</f>
        <v/>
      </c>
      <c r="F420" s="12" t="str">
        <f>IF(B420=0,"",COUNTIFS('Extração'!O:O,"Parcialmente",'Extração'!J:J,A420)/B420)</f>
        <v/>
      </c>
      <c r="G420" s="12" t="str">
        <f>IF(B420=0,"",COUNTIFS('Extração'!N:N,"Não",'Extração'!J:J,A420)/B420)</f>
        <v/>
      </c>
      <c r="H420" s="12" t="str">
        <f>IF(B420=0,"",COUNTIFS('Extração'!O:O,"Não",'Extração'!J:J,A420)/B420)</f>
        <v/>
      </c>
      <c r="I420" s="12" t="str">
        <f>IF(B420=0,"",COUNTIFS('Extração'!P:P,"Igual",'Extração'!J:J,A420)/B420)</f>
        <v/>
      </c>
    </row>
    <row r="421">
      <c r="B421" s="12">
        <f>COUNTIF('Extração'!J:J,A421)</f>
        <v>0</v>
      </c>
      <c r="C421" s="12" t="str">
        <f>IF(B421=0,"",COUNTIFS('Extração'!N:N,"Sim",'Extração'!J:J,A421)/B421)</f>
        <v/>
      </c>
      <c r="D421" s="12" t="str">
        <f>IF(B421=0,"",COUNTIFS('Extração'!O:O,"Sim",'Extração'!J:J,A421)/B421)</f>
        <v/>
      </c>
      <c r="E421" s="12" t="str">
        <f>IF(B421=0,"",COUNTIFS('Extração'!N:N,"Parcialmente",'Extração'!J:J,A421)/B421)</f>
        <v/>
      </c>
      <c r="F421" s="12" t="str">
        <f>IF(B421=0,"",COUNTIFS('Extração'!O:O,"Parcialmente",'Extração'!J:J,A421)/B421)</f>
        <v/>
      </c>
      <c r="G421" s="12" t="str">
        <f>IF(B421=0,"",COUNTIFS('Extração'!N:N,"Não",'Extração'!J:J,A421)/B421)</f>
        <v/>
      </c>
      <c r="H421" s="12" t="str">
        <f>IF(B421=0,"",COUNTIFS('Extração'!O:O,"Não",'Extração'!J:J,A421)/B421)</f>
        <v/>
      </c>
      <c r="I421" s="12" t="str">
        <f>IF(B421=0,"",COUNTIFS('Extração'!P:P,"Igual",'Extração'!J:J,A421)/B421)</f>
        <v/>
      </c>
    </row>
    <row r="422">
      <c r="B422" s="12">
        <f>COUNTIF('Extração'!J:J,A422)</f>
        <v>0</v>
      </c>
      <c r="C422" s="12" t="str">
        <f>IF(B422=0,"",COUNTIFS('Extração'!N:N,"Sim",'Extração'!J:J,A422)/B422)</f>
        <v/>
      </c>
      <c r="D422" s="12" t="str">
        <f>IF(B422=0,"",COUNTIFS('Extração'!O:O,"Sim",'Extração'!J:J,A422)/B422)</f>
        <v/>
      </c>
      <c r="E422" s="12" t="str">
        <f>IF(B422=0,"",COUNTIFS('Extração'!N:N,"Parcialmente",'Extração'!J:J,A422)/B422)</f>
        <v/>
      </c>
      <c r="F422" s="12" t="str">
        <f>IF(B422=0,"",COUNTIFS('Extração'!O:O,"Parcialmente",'Extração'!J:J,A422)/B422)</f>
        <v/>
      </c>
      <c r="G422" s="12" t="str">
        <f>IF(B422=0,"",COUNTIFS('Extração'!N:N,"Não",'Extração'!J:J,A422)/B422)</f>
        <v/>
      </c>
      <c r="H422" s="12" t="str">
        <f>IF(B422=0,"",COUNTIFS('Extração'!O:O,"Não",'Extração'!J:J,A422)/B422)</f>
        <v/>
      </c>
      <c r="I422" s="12" t="str">
        <f>IF(B422=0,"",COUNTIFS('Extração'!P:P,"Igual",'Extração'!J:J,A422)/B422)</f>
        <v/>
      </c>
    </row>
    <row r="423">
      <c r="B423" s="12">
        <f>COUNTIF('Extração'!J:J,A423)</f>
        <v>0</v>
      </c>
      <c r="C423" s="12" t="str">
        <f>IF(B423=0,"",COUNTIFS('Extração'!N:N,"Sim",'Extração'!J:J,A423)/B423)</f>
        <v/>
      </c>
      <c r="D423" s="12" t="str">
        <f>IF(B423=0,"",COUNTIFS('Extração'!O:O,"Sim",'Extração'!J:J,A423)/B423)</f>
        <v/>
      </c>
      <c r="E423" s="12" t="str">
        <f>IF(B423=0,"",COUNTIFS('Extração'!N:N,"Parcialmente",'Extração'!J:J,A423)/B423)</f>
        <v/>
      </c>
      <c r="F423" s="12" t="str">
        <f>IF(B423=0,"",COUNTIFS('Extração'!O:O,"Parcialmente",'Extração'!J:J,A423)/B423)</f>
        <v/>
      </c>
      <c r="G423" s="12" t="str">
        <f>IF(B423=0,"",COUNTIFS('Extração'!N:N,"Não",'Extração'!J:J,A423)/B423)</f>
        <v/>
      </c>
      <c r="H423" s="12" t="str">
        <f>IF(B423=0,"",COUNTIFS('Extração'!O:O,"Não",'Extração'!J:J,A423)/B423)</f>
        <v/>
      </c>
      <c r="I423" s="12" t="str">
        <f>IF(B423=0,"",COUNTIFS('Extração'!P:P,"Igual",'Extração'!J:J,A423)/B423)</f>
        <v/>
      </c>
    </row>
    <row r="424">
      <c r="B424" s="12">
        <f>COUNTIF('Extração'!J:J,A424)</f>
        <v>0</v>
      </c>
      <c r="C424" s="12" t="str">
        <f>IF(B424=0,"",COUNTIFS('Extração'!N:N,"Sim",'Extração'!J:J,A424)/B424)</f>
        <v/>
      </c>
      <c r="D424" s="12" t="str">
        <f>IF(B424=0,"",COUNTIFS('Extração'!O:O,"Sim",'Extração'!J:J,A424)/B424)</f>
        <v/>
      </c>
      <c r="E424" s="12" t="str">
        <f>IF(B424=0,"",COUNTIFS('Extração'!N:N,"Parcialmente",'Extração'!J:J,A424)/B424)</f>
        <v/>
      </c>
      <c r="F424" s="12" t="str">
        <f>IF(B424=0,"",COUNTIFS('Extração'!O:O,"Parcialmente",'Extração'!J:J,A424)/B424)</f>
        <v/>
      </c>
      <c r="G424" s="12" t="str">
        <f>IF(B424=0,"",COUNTIFS('Extração'!N:N,"Não",'Extração'!J:J,A424)/B424)</f>
        <v/>
      </c>
      <c r="H424" s="12" t="str">
        <f>IF(B424=0,"",COUNTIFS('Extração'!O:O,"Não",'Extração'!J:J,A424)/B424)</f>
        <v/>
      </c>
      <c r="I424" s="12" t="str">
        <f>IF(B424=0,"",COUNTIFS('Extração'!P:P,"Igual",'Extração'!J:J,A424)/B424)</f>
        <v/>
      </c>
    </row>
    <row r="425">
      <c r="B425" s="12">
        <f>COUNTIF('Extração'!J:J,A425)</f>
        <v>0</v>
      </c>
      <c r="C425" s="12" t="str">
        <f>IF(B425=0,"",COUNTIFS('Extração'!N:N,"Sim",'Extração'!J:J,A425)/B425)</f>
        <v/>
      </c>
      <c r="D425" s="12" t="str">
        <f>IF(B425=0,"",COUNTIFS('Extração'!O:O,"Sim",'Extração'!J:J,A425)/B425)</f>
        <v/>
      </c>
      <c r="E425" s="12" t="str">
        <f>IF(B425=0,"",COUNTIFS('Extração'!N:N,"Parcialmente",'Extração'!J:J,A425)/B425)</f>
        <v/>
      </c>
      <c r="F425" s="12" t="str">
        <f>IF(B425=0,"",COUNTIFS('Extração'!O:O,"Parcialmente",'Extração'!J:J,A425)/B425)</f>
        <v/>
      </c>
      <c r="G425" s="12" t="str">
        <f>IF(B425=0,"",COUNTIFS('Extração'!N:N,"Não",'Extração'!J:J,A425)/B425)</f>
        <v/>
      </c>
      <c r="H425" s="12" t="str">
        <f>IF(B425=0,"",COUNTIFS('Extração'!O:O,"Não",'Extração'!J:J,A425)/B425)</f>
        <v/>
      </c>
      <c r="I425" s="12" t="str">
        <f>IF(B425=0,"",COUNTIFS('Extração'!P:P,"Igual",'Extração'!J:J,A425)/B425)</f>
        <v/>
      </c>
    </row>
    <row r="426">
      <c r="B426" s="12">
        <f>COUNTIF('Extração'!J:J,A426)</f>
        <v>0</v>
      </c>
      <c r="C426" s="12" t="str">
        <f>IF(B426=0,"",COUNTIFS('Extração'!N:N,"Sim",'Extração'!J:J,A426)/B426)</f>
        <v/>
      </c>
      <c r="D426" s="12" t="str">
        <f>IF(B426=0,"",COUNTIFS('Extração'!O:O,"Sim",'Extração'!J:J,A426)/B426)</f>
        <v/>
      </c>
      <c r="E426" s="12" t="str">
        <f>IF(B426=0,"",COUNTIFS('Extração'!N:N,"Parcialmente",'Extração'!J:J,A426)/B426)</f>
        <v/>
      </c>
      <c r="F426" s="12" t="str">
        <f>IF(B426=0,"",COUNTIFS('Extração'!O:O,"Parcialmente",'Extração'!J:J,A426)/B426)</f>
        <v/>
      </c>
      <c r="G426" s="12" t="str">
        <f>IF(B426=0,"",COUNTIFS('Extração'!N:N,"Não",'Extração'!J:J,A426)/B426)</f>
        <v/>
      </c>
      <c r="H426" s="12" t="str">
        <f>IF(B426=0,"",COUNTIFS('Extração'!O:O,"Não",'Extração'!J:J,A426)/B426)</f>
        <v/>
      </c>
      <c r="I426" s="12" t="str">
        <f>IF(B426=0,"",COUNTIFS('Extração'!P:P,"Igual",'Extração'!J:J,A426)/B426)</f>
        <v/>
      </c>
    </row>
    <row r="427">
      <c r="B427" s="12">
        <f>COUNTIF('Extração'!J:J,A427)</f>
        <v>0</v>
      </c>
      <c r="C427" s="12" t="str">
        <f>IF(B427=0,"",COUNTIFS('Extração'!N:N,"Sim",'Extração'!J:J,A427)/B427)</f>
        <v/>
      </c>
      <c r="D427" s="12" t="str">
        <f>IF(B427=0,"",COUNTIFS('Extração'!O:O,"Sim",'Extração'!J:J,A427)/B427)</f>
        <v/>
      </c>
      <c r="E427" s="12" t="str">
        <f>IF(B427=0,"",COUNTIFS('Extração'!N:N,"Parcialmente",'Extração'!J:J,A427)/B427)</f>
        <v/>
      </c>
      <c r="F427" s="12" t="str">
        <f>IF(B427=0,"",COUNTIFS('Extração'!O:O,"Parcialmente",'Extração'!J:J,A427)/B427)</f>
        <v/>
      </c>
      <c r="G427" s="12" t="str">
        <f>IF(B427=0,"",COUNTIFS('Extração'!N:N,"Não",'Extração'!J:J,A427)/B427)</f>
        <v/>
      </c>
      <c r="H427" s="12" t="str">
        <f>IF(B427=0,"",COUNTIFS('Extração'!O:O,"Não",'Extração'!J:J,A427)/B427)</f>
        <v/>
      </c>
      <c r="I427" s="12" t="str">
        <f>IF(B427=0,"",COUNTIFS('Extração'!P:P,"Igual",'Extração'!J:J,A427)/B427)</f>
        <v/>
      </c>
    </row>
    <row r="428">
      <c r="B428" s="12">
        <f>COUNTIF('Extração'!J:J,A428)</f>
        <v>0</v>
      </c>
      <c r="C428" s="12" t="str">
        <f>IF(B428=0,"",COUNTIFS('Extração'!N:N,"Sim",'Extração'!J:J,A428)/B428)</f>
        <v/>
      </c>
      <c r="D428" s="12" t="str">
        <f>IF(B428=0,"",COUNTIFS('Extração'!O:O,"Sim",'Extração'!J:J,A428)/B428)</f>
        <v/>
      </c>
      <c r="E428" s="12" t="str">
        <f>IF(B428=0,"",COUNTIFS('Extração'!N:N,"Parcialmente",'Extração'!J:J,A428)/B428)</f>
        <v/>
      </c>
      <c r="F428" s="12" t="str">
        <f>IF(B428=0,"",COUNTIFS('Extração'!O:O,"Parcialmente",'Extração'!J:J,A428)/B428)</f>
        <v/>
      </c>
      <c r="G428" s="12" t="str">
        <f>IF(B428=0,"",COUNTIFS('Extração'!N:N,"Não",'Extração'!J:J,A428)/B428)</f>
        <v/>
      </c>
      <c r="H428" s="12" t="str">
        <f>IF(B428=0,"",COUNTIFS('Extração'!O:O,"Não",'Extração'!J:J,A428)/B428)</f>
        <v/>
      </c>
      <c r="I428" s="12" t="str">
        <f>IF(B428=0,"",COUNTIFS('Extração'!P:P,"Igual",'Extração'!J:J,A428)/B428)</f>
        <v/>
      </c>
    </row>
    <row r="429">
      <c r="B429" s="12">
        <f>COUNTIF('Extração'!J:J,A429)</f>
        <v>0</v>
      </c>
      <c r="C429" s="12" t="str">
        <f>IF(B429=0,"",COUNTIFS('Extração'!N:N,"Sim",'Extração'!J:J,A429)/B429)</f>
        <v/>
      </c>
      <c r="D429" s="12" t="str">
        <f>IF(B429=0,"",COUNTIFS('Extração'!O:O,"Sim",'Extração'!J:J,A429)/B429)</f>
        <v/>
      </c>
      <c r="E429" s="12" t="str">
        <f>IF(B429=0,"",COUNTIFS('Extração'!N:N,"Parcialmente",'Extração'!J:J,A429)/B429)</f>
        <v/>
      </c>
      <c r="F429" s="12" t="str">
        <f>IF(B429=0,"",COUNTIFS('Extração'!O:O,"Parcialmente",'Extração'!J:J,A429)/B429)</f>
        <v/>
      </c>
      <c r="G429" s="12" t="str">
        <f>IF(B429=0,"",COUNTIFS('Extração'!N:N,"Não",'Extração'!J:J,A429)/B429)</f>
        <v/>
      </c>
      <c r="H429" s="12" t="str">
        <f>IF(B429=0,"",COUNTIFS('Extração'!O:O,"Não",'Extração'!J:J,A429)/B429)</f>
        <v/>
      </c>
      <c r="I429" s="12" t="str">
        <f>IF(B429=0,"",COUNTIFS('Extração'!P:P,"Igual",'Extração'!J:J,A429)/B429)</f>
        <v/>
      </c>
    </row>
    <row r="430">
      <c r="B430" s="12">
        <f>COUNTIF('Extração'!J:J,A430)</f>
        <v>0</v>
      </c>
      <c r="C430" s="12" t="str">
        <f>IF(B430=0,"",COUNTIFS('Extração'!N:N,"Sim",'Extração'!J:J,A430)/B430)</f>
        <v/>
      </c>
      <c r="D430" s="12" t="str">
        <f>IF(B430=0,"",COUNTIFS('Extração'!O:O,"Sim",'Extração'!J:J,A430)/B430)</f>
        <v/>
      </c>
      <c r="E430" s="12" t="str">
        <f>IF(B430=0,"",COUNTIFS('Extração'!N:N,"Parcialmente",'Extração'!J:J,A430)/B430)</f>
        <v/>
      </c>
      <c r="F430" s="12" t="str">
        <f>IF(B430=0,"",COUNTIFS('Extração'!O:O,"Parcialmente",'Extração'!J:J,A430)/B430)</f>
        <v/>
      </c>
      <c r="G430" s="12" t="str">
        <f>IF(B430=0,"",COUNTIFS('Extração'!N:N,"Não",'Extração'!J:J,A430)/B430)</f>
        <v/>
      </c>
      <c r="H430" s="12" t="str">
        <f>IF(B430=0,"",COUNTIFS('Extração'!O:O,"Não",'Extração'!J:J,A430)/B430)</f>
        <v/>
      </c>
      <c r="I430" s="12" t="str">
        <f>IF(B430=0,"",COUNTIFS('Extração'!P:P,"Igual",'Extração'!J:J,A430)/B430)</f>
        <v/>
      </c>
    </row>
    <row r="431">
      <c r="B431" s="12">
        <f>COUNTIF('Extração'!J:J,A431)</f>
        <v>0</v>
      </c>
      <c r="C431" s="12" t="str">
        <f>IF(B431=0,"",COUNTIFS('Extração'!N:N,"Sim",'Extração'!J:J,A431)/B431)</f>
        <v/>
      </c>
      <c r="D431" s="12" t="str">
        <f>IF(B431=0,"",COUNTIFS('Extração'!O:O,"Sim",'Extração'!J:J,A431)/B431)</f>
        <v/>
      </c>
      <c r="E431" s="12" t="str">
        <f>IF(B431=0,"",COUNTIFS('Extração'!N:N,"Parcialmente",'Extração'!J:J,A431)/B431)</f>
        <v/>
      </c>
      <c r="F431" s="12" t="str">
        <f>IF(B431=0,"",COUNTIFS('Extração'!O:O,"Parcialmente",'Extração'!J:J,A431)/B431)</f>
        <v/>
      </c>
      <c r="G431" s="12" t="str">
        <f>IF(B431=0,"",COUNTIFS('Extração'!N:N,"Não",'Extração'!J:J,A431)/B431)</f>
        <v/>
      </c>
      <c r="H431" s="12" t="str">
        <f>IF(B431=0,"",COUNTIFS('Extração'!O:O,"Não",'Extração'!J:J,A431)/B431)</f>
        <v/>
      </c>
      <c r="I431" s="12" t="str">
        <f>IF(B431=0,"",COUNTIFS('Extração'!P:P,"Igual",'Extração'!J:J,A431)/B431)</f>
        <v/>
      </c>
    </row>
    <row r="432">
      <c r="B432" s="12">
        <f>COUNTIF('Extração'!J:J,A432)</f>
        <v>0</v>
      </c>
      <c r="C432" s="12" t="str">
        <f>IF(B432=0,"",COUNTIFS('Extração'!N:N,"Sim",'Extração'!J:J,A432)/B432)</f>
        <v/>
      </c>
      <c r="D432" s="12" t="str">
        <f>IF(B432=0,"",COUNTIFS('Extração'!O:O,"Sim",'Extração'!J:J,A432)/B432)</f>
        <v/>
      </c>
      <c r="E432" s="12" t="str">
        <f>IF(B432=0,"",COUNTIFS('Extração'!N:N,"Parcialmente",'Extração'!J:J,A432)/B432)</f>
        <v/>
      </c>
      <c r="F432" s="12" t="str">
        <f>IF(B432=0,"",COUNTIFS('Extração'!O:O,"Parcialmente",'Extração'!J:J,A432)/B432)</f>
        <v/>
      </c>
      <c r="G432" s="12" t="str">
        <f>IF(B432=0,"",COUNTIFS('Extração'!N:N,"Não",'Extração'!J:J,A432)/B432)</f>
        <v/>
      </c>
      <c r="H432" s="12" t="str">
        <f>IF(B432=0,"",COUNTIFS('Extração'!O:O,"Não",'Extração'!J:J,A432)/B432)</f>
        <v/>
      </c>
      <c r="I432" s="12" t="str">
        <f>IF(B432=0,"",COUNTIFS('Extração'!P:P,"Igual",'Extração'!J:J,A432)/B432)</f>
        <v/>
      </c>
    </row>
    <row r="433">
      <c r="B433" s="12">
        <f>COUNTIF('Extração'!J:J,A433)</f>
        <v>0</v>
      </c>
      <c r="C433" s="12" t="str">
        <f>IF(B433=0,"",COUNTIFS('Extração'!N:N,"Sim",'Extração'!J:J,A433)/B433)</f>
        <v/>
      </c>
      <c r="D433" s="12" t="str">
        <f>IF(B433=0,"",COUNTIFS('Extração'!O:O,"Sim",'Extração'!J:J,A433)/B433)</f>
        <v/>
      </c>
      <c r="E433" s="12" t="str">
        <f>IF(B433=0,"",COUNTIFS('Extração'!N:N,"Parcialmente",'Extração'!J:J,A433)/B433)</f>
        <v/>
      </c>
      <c r="F433" s="12" t="str">
        <f>IF(B433=0,"",COUNTIFS('Extração'!O:O,"Parcialmente",'Extração'!J:J,A433)/B433)</f>
        <v/>
      </c>
      <c r="G433" s="12" t="str">
        <f>IF(B433=0,"",COUNTIFS('Extração'!N:N,"Não",'Extração'!J:J,A433)/B433)</f>
        <v/>
      </c>
      <c r="H433" s="12" t="str">
        <f>IF(B433=0,"",COUNTIFS('Extração'!O:O,"Não",'Extração'!J:J,A433)/B433)</f>
        <v/>
      </c>
      <c r="I433" s="12" t="str">
        <f>IF(B433=0,"",COUNTIFS('Extração'!P:P,"Igual",'Extração'!J:J,A433)/B433)</f>
        <v/>
      </c>
    </row>
    <row r="434">
      <c r="B434" s="12">
        <f>COUNTIF('Extração'!J:J,A434)</f>
        <v>0</v>
      </c>
      <c r="C434" s="12" t="str">
        <f>IF(B434=0,"",COUNTIFS('Extração'!N:N,"Sim",'Extração'!J:J,A434)/B434)</f>
        <v/>
      </c>
      <c r="D434" s="12" t="str">
        <f>IF(B434=0,"",COUNTIFS('Extração'!O:O,"Sim",'Extração'!J:J,A434)/B434)</f>
        <v/>
      </c>
      <c r="E434" s="12" t="str">
        <f>IF(B434=0,"",COUNTIFS('Extração'!N:N,"Parcialmente",'Extração'!J:J,A434)/B434)</f>
        <v/>
      </c>
      <c r="F434" s="12" t="str">
        <f>IF(B434=0,"",COUNTIFS('Extração'!O:O,"Parcialmente",'Extração'!J:J,A434)/B434)</f>
        <v/>
      </c>
      <c r="G434" s="12" t="str">
        <f>IF(B434=0,"",COUNTIFS('Extração'!N:N,"Não",'Extração'!J:J,A434)/B434)</f>
        <v/>
      </c>
      <c r="H434" s="12" t="str">
        <f>IF(B434=0,"",COUNTIFS('Extração'!O:O,"Não",'Extração'!J:J,A434)/B434)</f>
        <v/>
      </c>
      <c r="I434" s="12" t="str">
        <f>IF(B434=0,"",COUNTIFS('Extração'!P:P,"Igual",'Extração'!J:J,A434)/B434)</f>
        <v/>
      </c>
    </row>
    <row r="435">
      <c r="B435" s="12">
        <f>COUNTIF('Extração'!J:J,A435)</f>
        <v>0</v>
      </c>
      <c r="C435" s="12" t="str">
        <f>IF(B435=0,"",COUNTIFS('Extração'!N:N,"Sim",'Extração'!J:J,A435)/B435)</f>
        <v/>
      </c>
      <c r="D435" s="12" t="str">
        <f>IF(B435=0,"",COUNTIFS('Extração'!O:O,"Sim",'Extração'!J:J,A435)/B435)</f>
        <v/>
      </c>
      <c r="E435" s="12" t="str">
        <f>IF(B435=0,"",COUNTIFS('Extração'!N:N,"Parcialmente",'Extração'!J:J,A435)/B435)</f>
        <v/>
      </c>
      <c r="F435" s="12" t="str">
        <f>IF(B435=0,"",COUNTIFS('Extração'!O:O,"Parcialmente",'Extração'!J:J,A435)/B435)</f>
        <v/>
      </c>
      <c r="G435" s="12" t="str">
        <f>IF(B435=0,"",COUNTIFS('Extração'!N:N,"Não",'Extração'!J:J,A435)/B435)</f>
        <v/>
      </c>
      <c r="H435" s="12" t="str">
        <f>IF(B435=0,"",COUNTIFS('Extração'!O:O,"Não",'Extração'!J:J,A435)/B435)</f>
        <v/>
      </c>
      <c r="I435" s="12" t="str">
        <f>IF(B435=0,"",COUNTIFS('Extração'!P:P,"Igual",'Extração'!J:J,A435)/B435)</f>
        <v/>
      </c>
    </row>
    <row r="436">
      <c r="B436" s="12">
        <f>COUNTIF('Extração'!J:J,A436)</f>
        <v>0</v>
      </c>
      <c r="C436" s="12" t="str">
        <f>IF(B436=0,"",COUNTIFS('Extração'!N:N,"Sim",'Extração'!J:J,A436)/B436)</f>
        <v/>
      </c>
      <c r="D436" s="12" t="str">
        <f>IF(B436=0,"",COUNTIFS('Extração'!O:O,"Sim",'Extração'!J:J,A436)/B436)</f>
        <v/>
      </c>
      <c r="E436" s="12" t="str">
        <f>IF(B436=0,"",COUNTIFS('Extração'!N:N,"Parcialmente",'Extração'!J:J,A436)/B436)</f>
        <v/>
      </c>
      <c r="F436" s="12" t="str">
        <f>IF(B436=0,"",COUNTIFS('Extração'!O:O,"Parcialmente",'Extração'!J:J,A436)/B436)</f>
        <v/>
      </c>
      <c r="G436" s="12" t="str">
        <f>IF(B436=0,"",COUNTIFS('Extração'!N:N,"Não",'Extração'!J:J,A436)/B436)</f>
        <v/>
      </c>
      <c r="H436" s="12" t="str">
        <f>IF(B436=0,"",COUNTIFS('Extração'!O:O,"Não",'Extração'!J:J,A436)/B436)</f>
        <v/>
      </c>
      <c r="I436" s="12" t="str">
        <f>IF(B436=0,"",COUNTIFS('Extração'!P:P,"Igual",'Extração'!J:J,A436)/B436)</f>
        <v/>
      </c>
    </row>
    <row r="437">
      <c r="B437" s="12">
        <f>COUNTIF('Extração'!J:J,A437)</f>
        <v>0</v>
      </c>
      <c r="C437" s="12" t="str">
        <f>IF(B437=0,"",COUNTIFS('Extração'!N:N,"Sim",'Extração'!J:J,A437)/B437)</f>
        <v/>
      </c>
      <c r="D437" s="12" t="str">
        <f>IF(B437=0,"",COUNTIFS('Extração'!O:O,"Sim",'Extração'!J:J,A437)/B437)</f>
        <v/>
      </c>
      <c r="E437" s="12" t="str">
        <f>IF(B437=0,"",COUNTIFS('Extração'!N:N,"Parcialmente",'Extração'!J:J,A437)/B437)</f>
        <v/>
      </c>
      <c r="F437" s="12" t="str">
        <f>IF(B437=0,"",COUNTIFS('Extração'!O:O,"Parcialmente",'Extração'!J:J,A437)/B437)</f>
        <v/>
      </c>
      <c r="G437" s="12" t="str">
        <f>IF(B437=0,"",COUNTIFS('Extração'!N:N,"Não",'Extração'!J:J,A437)/B437)</f>
        <v/>
      </c>
      <c r="H437" s="12" t="str">
        <f>IF(B437=0,"",COUNTIFS('Extração'!O:O,"Não",'Extração'!J:J,A437)/B437)</f>
        <v/>
      </c>
      <c r="I437" s="12" t="str">
        <f>IF(B437=0,"",COUNTIFS('Extração'!P:P,"Igual",'Extração'!J:J,A437)/B437)</f>
        <v/>
      </c>
    </row>
    <row r="438">
      <c r="B438" s="12">
        <f>COUNTIF('Extração'!J:J,A438)</f>
        <v>0</v>
      </c>
      <c r="C438" s="12" t="str">
        <f>IF(B438=0,"",COUNTIFS('Extração'!N:N,"Sim",'Extração'!J:J,A438)/B438)</f>
        <v/>
      </c>
      <c r="D438" s="12" t="str">
        <f>IF(B438=0,"",COUNTIFS('Extração'!O:O,"Sim",'Extração'!J:J,A438)/B438)</f>
        <v/>
      </c>
      <c r="E438" s="12" t="str">
        <f>IF(B438=0,"",COUNTIFS('Extração'!N:N,"Parcialmente",'Extração'!J:J,A438)/B438)</f>
        <v/>
      </c>
      <c r="F438" s="12" t="str">
        <f>IF(B438=0,"",COUNTIFS('Extração'!O:O,"Parcialmente",'Extração'!J:J,A438)/B438)</f>
        <v/>
      </c>
      <c r="G438" s="12" t="str">
        <f>IF(B438=0,"",COUNTIFS('Extração'!N:N,"Não",'Extração'!J:J,A438)/B438)</f>
        <v/>
      </c>
      <c r="H438" s="12" t="str">
        <f>IF(B438=0,"",COUNTIFS('Extração'!O:O,"Não",'Extração'!J:J,A438)/B438)</f>
        <v/>
      </c>
      <c r="I438" s="12" t="str">
        <f>IF(B438=0,"",COUNTIFS('Extração'!P:P,"Igual",'Extração'!J:J,A438)/B438)</f>
        <v/>
      </c>
    </row>
    <row r="439">
      <c r="B439" s="12">
        <f>COUNTIF('Extração'!J:J,A439)</f>
        <v>0</v>
      </c>
      <c r="C439" s="12" t="str">
        <f>IF(B439=0,"",COUNTIFS('Extração'!N:N,"Sim",'Extração'!J:J,A439)/B439)</f>
        <v/>
      </c>
      <c r="D439" s="12" t="str">
        <f>IF(B439=0,"",COUNTIFS('Extração'!O:O,"Sim",'Extração'!J:J,A439)/B439)</f>
        <v/>
      </c>
      <c r="E439" s="12" t="str">
        <f>IF(B439=0,"",COUNTIFS('Extração'!N:N,"Parcialmente",'Extração'!J:J,A439)/B439)</f>
        <v/>
      </c>
      <c r="F439" s="12" t="str">
        <f>IF(B439=0,"",COUNTIFS('Extração'!O:O,"Parcialmente",'Extração'!J:J,A439)/B439)</f>
        <v/>
      </c>
      <c r="G439" s="12" t="str">
        <f>IF(B439=0,"",COUNTIFS('Extração'!N:N,"Não",'Extração'!J:J,A439)/B439)</f>
        <v/>
      </c>
      <c r="H439" s="12" t="str">
        <f>IF(B439=0,"",COUNTIFS('Extração'!O:O,"Não",'Extração'!J:J,A439)/B439)</f>
        <v/>
      </c>
      <c r="I439" s="12" t="str">
        <f>IF(B439=0,"",COUNTIFS('Extração'!P:P,"Igual",'Extração'!J:J,A439)/B439)</f>
        <v/>
      </c>
    </row>
    <row r="440">
      <c r="B440" s="12">
        <f>COUNTIF('Extração'!J:J,A440)</f>
        <v>0</v>
      </c>
      <c r="C440" s="12" t="str">
        <f>IF(B440=0,"",COUNTIFS('Extração'!N:N,"Sim",'Extração'!J:J,A440)/B440)</f>
        <v/>
      </c>
      <c r="D440" s="12" t="str">
        <f>IF(B440=0,"",COUNTIFS('Extração'!O:O,"Sim",'Extração'!J:J,A440)/B440)</f>
        <v/>
      </c>
      <c r="E440" s="12" t="str">
        <f>IF(B440=0,"",COUNTIFS('Extração'!N:N,"Parcialmente",'Extração'!J:J,A440)/B440)</f>
        <v/>
      </c>
      <c r="F440" s="12" t="str">
        <f>IF(B440=0,"",COUNTIFS('Extração'!O:O,"Parcialmente",'Extração'!J:J,A440)/B440)</f>
        <v/>
      </c>
      <c r="G440" s="12" t="str">
        <f>IF(B440=0,"",COUNTIFS('Extração'!N:N,"Não",'Extração'!J:J,A440)/B440)</f>
        <v/>
      </c>
      <c r="H440" s="12" t="str">
        <f>IF(B440=0,"",COUNTIFS('Extração'!O:O,"Não",'Extração'!J:J,A440)/B440)</f>
        <v/>
      </c>
      <c r="I440" s="12" t="str">
        <f>IF(B440=0,"",COUNTIFS('Extração'!P:P,"Igual",'Extração'!J:J,A440)/B440)</f>
        <v/>
      </c>
    </row>
    <row r="441">
      <c r="B441" s="12">
        <f>COUNTIF('Extração'!J:J,A441)</f>
        <v>0</v>
      </c>
      <c r="C441" s="12" t="str">
        <f>IF(B441=0,"",COUNTIFS('Extração'!N:N,"Sim",'Extração'!J:J,A441)/B441)</f>
        <v/>
      </c>
      <c r="D441" s="12" t="str">
        <f>IF(B441=0,"",COUNTIFS('Extração'!O:O,"Sim",'Extração'!J:J,A441)/B441)</f>
        <v/>
      </c>
      <c r="E441" s="12" t="str">
        <f>IF(B441=0,"",COUNTIFS('Extração'!N:N,"Parcialmente",'Extração'!J:J,A441)/B441)</f>
        <v/>
      </c>
      <c r="F441" s="12" t="str">
        <f>IF(B441=0,"",COUNTIFS('Extração'!O:O,"Parcialmente",'Extração'!J:J,A441)/B441)</f>
        <v/>
      </c>
      <c r="G441" s="12" t="str">
        <f>IF(B441=0,"",COUNTIFS('Extração'!N:N,"Não",'Extração'!J:J,A441)/B441)</f>
        <v/>
      </c>
      <c r="H441" s="12" t="str">
        <f>IF(B441=0,"",COUNTIFS('Extração'!O:O,"Não",'Extração'!J:J,A441)/B441)</f>
        <v/>
      </c>
      <c r="I441" s="12" t="str">
        <f>IF(B441=0,"",COUNTIFS('Extração'!P:P,"Igual",'Extração'!J:J,A441)/B441)</f>
        <v/>
      </c>
    </row>
    <row r="442">
      <c r="B442" s="12">
        <f>COUNTIF('Extração'!J:J,A442)</f>
        <v>0</v>
      </c>
      <c r="C442" s="12" t="str">
        <f>IF(B442=0,"",COUNTIFS('Extração'!N:N,"Sim",'Extração'!J:J,A442)/B442)</f>
        <v/>
      </c>
      <c r="D442" s="12" t="str">
        <f>IF(B442=0,"",COUNTIFS('Extração'!O:O,"Sim",'Extração'!J:J,A442)/B442)</f>
        <v/>
      </c>
      <c r="E442" s="12" t="str">
        <f>IF(B442=0,"",COUNTIFS('Extração'!N:N,"Parcialmente",'Extração'!J:J,A442)/B442)</f>
        <v/>
      </c>
      <c r="F442" s="12" t="str">
        <f>IF(B442=0,"",COUNTIFS('Extração'!O:O,"Parcialmente",'Extração'!J:J,A442)/B442)</f>
        <v/>
      </c>
      <c r="G442" s="12" t="str">
        <f>IF(B442=0,"",COUNTIFS('Extração'!N:N,"Não",'Extração'!J:J,A442)/B442)</f>
        <v/>
      </c>
      <c r="H442" s="12" t="str">
        <f>IF(B442=0,"",COUNTIFS('Extração'!O:O,"Não",'Extração'!J:J,A442)/B442)</f>
        <v/>
      </c>
      <c r="I442" s="12" t="str">
        <f>IF(B442=0,"",COUNTIFS('Extração'!P:P,"Igual",'Extração'!J:J,A442)/B442)</f>
        <v/>
      </c>
    </row>
    <row r="443">
      <c r="B443" s="12">
        <f>COUNTIF('Extração'!J:J,A443)</f>
        <v>0</v>
      </c>
      <c r="C443" s="12" t="str">
        <f>IF(B443=0,"",COUNTIFS('Extração'!N:N,"Sim",'Extração'!J:J,A443)/B443)</f>
        <v/>
      </c>
      <c r="D443" s="12" t="str">
        <f>IF(B443=0,"",COUNTIFS('Extração'!O:O,"Sim",'Extração'!J:J,A443)/B443)</f>
        <v/>
      </c>
      <c r="E443" s="12" t="str">
        <f>IF(B443=0,"",COUNTIFS('Extração'!N:N,"Parcialmente",'Extração'!J:J,A443)/B443)</f>
        <v/>
      </c>
      <c r="F443" s="12" t="str">
        <f>IF(B443=0,"",COUNTIFS('Extração'!O:O,"Parcialmente",'Extração'!J:J,A443)/B443)</f>
        <v/>
      </c>
      <c r="G443" s="12" t="str">
        <f>IF(B443=0,"",COUNTIFS('Extração'!N:N,"Não",'Extração'!J:J,A443)/B443)</f>
        <v/>
      </c>
      <c r="H443" s="12" t="str">
        <f>IF(B443=0,"",COUNTIFS('Extração'!O:O,"Não",'Extração'!J:J,A443)/B443)</f>
        <v/>
      </c>
      <c r="I443" s="12" t="str">
        <f>IF(B443=0,"",COUNTIFS('Extração'!P:P,"Igual",'Extração'!J:J,A443)/B443)</f>
        <v/>
      </c>
    </row>
    <row r="444">
      <c r="B444" s="12">
        <f>COUNTIF('Extração'!J:J,A444)</f>
        <v>0</v>
      </c>
      <c r="C444" s="12" t="str">
        <f>IF(B444=0,"",COUNTIFS('Extração'!N:N,"Sim",'Extração'!J:J,A444)/B444)</f>
        <v/>
      </c>
      <c r="D444" s="12" t="str">
        <f>IF(B444=0,"",COUNTIFS('Extração'!O:O,"Sim",'Extração'!J:J,A444)/B444)</f>
        <v/>
      </c>
      <c r="E444" s="12" t="str">
        <f>IF(B444=0,"",COUNTIFS('Extração'!N:N,"Parcialmente",'Extração'!J:J,A444)/B444)</f>
        <v/>
      </c>
      <c r="F444" s="12" t="str">
        <f>IF(B444=0,"",COUNTIFS('Extração'!O:O,"Parcialmente",'Extração'!J:J,A444)/B444)</f>
        <v/>
      </c>
      <c r="G444" s="12" t="str">
        <f>IF(B444=0,"",COUNTIFS('Extração'!N:N,"Não",'Extração'!J:J,A444)/B444)</f>
        <v/>
      </c>
      <c r="H444" s="12" t="str">
        <f>IF(B444=0,"",COUNTIFS('Extração'!O:O,"Não",'Extração'!J:J,A444)/B444)</f>
        <v/>
      </c>
      <c r="I444" s="12" t="str">
        <f>IF(B444=0,"",COUNTIFS('Extração'!P:P,"Igual",'Extração'!J:J,A444)/B444)</f>
        <v/>
      </c>
    </row>
    <row r="445">
      <c r="B445" s="12">
        <f>COUNTIF('Extração'!J:J,A445)</f>
        <v>0</v>
      </c>
      <c r="C445" s="12" t="str">
        <f>IF(B445=0,"",COUNTIFS('Extração'!N:N,"Sim",'Extração'!J:J,A445)/B445)</f>
        <v/>
      </c>
      <c r="D445" s="12" t="str">
        <f>IF(B445=0,"",COUNTIFS('Extração'!O:O,"Sim",'Extração'!J:J,A445)/B445)</f>
        <v/>
      </c>
      <c r="E445" s="12" t="str">
        <f>IF(B445=0,"",COUNTIFS('Extração'!N:N,"Parcialmente",'Extração'!J:J,A445)/B445)</f>
        <v/>
      </c>
      <c r="F445" s="12" t="str">
        <f>IF(B445=0,"",COUNTIFS('Extração'!O:O,"Parcialmente",'Extração'!J:J,A445)/B445)</f>
        <v/>
      </c>
      <c r="G445" s="12" t="str">
        <f>IF(B445=0,"",COUNTIFS('Extração'!N:N,"Não",'Extração'!J:J,A445)/B445)</f>
        <v/>
      </c>
      <c r="H445" s="12" t="str">
        <f>IF(B445=0,"",COUNTIFS('Extração'!O:O,"Não",'Extração'!J:J,A445)/B445)</f>
        <v/>
      </c>
      <c r="I445" s="12" t="str">
        <f>IF(B445=0,"",COUNTIFS('Extração'!P:P,"Igual",'Extração'!J:J,A445)/B445)</f>
        <v/>
      </c>
    </row>
    <row r="446">
      <c r="B446" s="12">
        <f>COUNTIF('Extração'!J:J,A446)</f>
        <v>0</v>
      </c>
      <c r="C446" s="12" t="str">
        <f>IF(B446=0,"",COUNTIFS('Extração'!N:N,"Sim",'Extração'!J:J,A446)/B446)</f>
        <v/>
      </c>
      <c r="D446" s="12" t="str">
        <f>IF(B446=0,"",COUNTIFS('Extração'!O:O,"Sim",'Extração'!J:J,A446)/B446)</f>
        <v/>
      </c>
      <c r="E446" s="12" t="str">
        <f>IF(B446=0,"",COUNTIFS('Extração'!N:N,"Parcialmente",'Extração'!J:J,A446)/B446)</f>
        <v/>
      </c>
      <c r="F446" s="12" t="str">
        <f>IF(B446=0,"",COUNTIFS('Extração'!O:O,"Parcialmente",'Extração'!J:J,A446)/B446)</f>
        <v/>
      </c>
      <c r="G446" s="12" t="str">
        <f>IF(B446=0,"",COUNTIFS('Extração'!N:N,"Não",'Extração'!J:J,A446)/B446)</f>
        <v/>
      </c>
      <c r="H446" s="12" t="str">
        <f>IF(B446=0,"",COUNTIFS('Extração'!O:O,"Não",'Extração'!J:J,A446)/B446)</f>
        <v/>
      </c>
      <c r="I446" s="12" t="str">
        <f>IF(B446=0,"",COUNTIFS('Extração'!P:P,"Igual",'Extração'!J:J,A446)/B446)</f>
        <v/>
      </c>
    </row>
    <row r="447">
      <c r="B447" s="12">
        <f>COUNTIF('Extração'!J:J,A447)</f>
        <v>0</v>
      </c>
      <c r="C447" s="12" t="str">
        <f>IF(B447=0,"",COUNTIFS('Extração'!N:N,"Sim",'Extração'!J:J,A447)/B447)</f>
        <v/>
      </c>
      <c r="D447" s="12" t="str">
        <f>IF(B447=0,"",COUNTIFS('Extração'!O:O,"Sim",'Extração'!J:J,A447)/B447)</f>
        <v/>
      </c>
      <c r="E447" s="12" t="str">
        <f>IF(B447=0,"",COUNTIFS('Extração'!N:N,"Parcialmente",'Extração'!J:J,A447)/B447)</f>
        <v/>
      </c>
      <c r="F447" s="12" t="str">
        <f>IF(B447=0,"",COUNTIFS('Extração'!O:O,"Parcialmente",'Extração'!J:J,A447)/B447)</f>
        <v/>
      </c>
      <c r="G447" s="12" t="str">
        <f>IF(B447=0,"",COUNTIFS('Extração'!N:N,"Não",'Extração'!J:J,A447)/B447)</f>
        <v/>
      </c>
      <c r="H447" s="12" t="str">
        <f>IF(B447=0,"",COUNTIFS('Extração'!O:O,"Não",'Extração'!J:J,A447)/B447)</f>
        <v/>
      </c>
      <c r="I447" s="12" t="str">
        <f>IF(B447=0,"",COUNTIFS('Extração'!P:P,"Igual",'Extração'!J:J,A447)/B447)</f>
        <v/>
      </c>
    </row>
    <row r="448">
      <c r="B448" s="12">
        <f>COUNTIF('Extração'!J:J,A448)</f>
        <v>0</v>
      </c>
      <c r="C448" s="12" t="str">
        <f>IF(B448=0,"",COUNTIFS('Extração'!N:N,"Sim",'Extração'!J:J,A448)/B448)</f>
        <v/>
      </c>
      <c r="D448" s="12" t="str">
        <f>IF(B448=0,"",COUNTIFS('Extração'!O:O,"Sim",'Extração'!J:J,A448)/B448)</f>
        <v/>
      </c>
      <c r="E448" s="12" t="str">
        <f>IF(B448=0,"",COUNTIFS('Extração'!N:N,"Parcialmente",'Extração'!J:J,A448)/B448)</f>
        <v/>
      </c>
      <c r="F448" s="12" t="str">
        <f>IF(B448=0,"",COUNTIFS('Extração'!O:O,"Parcialmente",'Extração'!J:J,A448)/B448)</f>
        <v/>
      </c>
      <c r="G448" s="12" t="str">
        <f>IF(B448=0,"",COUNTIFS('Extração'!N:N,"Não",'Extração'!J:J,A448)/B448)</f>
        <v/>
      </c>
      <c r="H448" s="12" t="str">
        <f>IF(B448=0,"",COUNTIFS('Extração'!O:O,"Não",'Extração'!J:J,A448)/B448)</f>
        <v/>
      </c>
      <c r="I448" s="12" t="str">
        <f>IF(B448=0,"",COUNTIFS('Extração'!P:P,"Igual",'Extração'!J:J,A448)/B448)</f>
        <v/>
      </c>
    </row>
    <row r="449">
      <c r="B449" s="12">
        <f>COUNTIF('Extração'!J:J,A449)</f>
        <v>0</v>
      </c>
      <c r="C449" s="12" t="str">
        <f>IF(B449=0,"",COUNTIFS('Extração'!N:N,"Sim",'Extração'!J:J,A449)/B449)</f>
        <v/>
      </c>
      <c r="D449" s="12" t="str">
        <f>IF(B449=0,"",COUNTIFS('Extração'!O:O,"Sim",'Extração'!J:J,A449)/B449)</f>
        <v/>
      </c>
      <c r="E449" s="12" t="str">
        <f>IF(B449=0,"",COUNTIFS('Extração'!N:N,"Parcialmente",'Extração'!J:J,A449)/B449)</f>
        <v/>
      </c>
      <c r="F449" s="12" t="str">
        <f>IF(B449=0,"",COUNTIFS('Extração'!O:O,"Parcialmente",'Extração'!J:J,A449)/B449)</f>
        <v/>
      </c>
      <c r="G449" s="12" t="str">
        <f>IF(B449=0,"",COUNTIFS('Extração'!N:N,"Não",'Extração'!J:J,A449)/B449)</f>
        <v/>
      </c>
      <c r="H449" s="12" t="str">
        <f>IF(B449=0,"",COUNTIFS('Extração'!O:O,"Não",'Extração'!J:J,A449)/B449)</f>
        <v/>
      </c>
      <c r="I449" s="12" t="str">
        <f>IF(B449=0,"",COUNTIFS('Extração'!P:P,"Igual",'Extração'!J:J,A449)/B449)</f>
        <v/>
      </c>
    </row>
    <row r="450">
      <c r="B450" s="12">
        <f>COUNTIF('Extração'!J:J,A450)</f>
        <v>0</v>
      </c>
      <c r="C450" s="12" t="str">
        <f>IF(B450=0,"",COUNTIFS('Extração'!N:N,"Sim",'Extração'!J:J,A450)/B450)</f>
        <v/>
      </c>
      <c r="D450" s="12" t="str">
        <f>IF(B450=0,"",COUNTIFS('Extração'!O:O,"Sim",'Extração'!J:J,A450)/B450)</f>
        <v/>
      </c>
      <c r="E450" s="12" t="str">
        <f>IF(B450=0,"",COUNTIFS('Extração'!N:N,"Parcialmente",'Extração'!J:J,A450)/B450)</f>
        <v/>
      </c>
      <c r="F450" s="12" t="str">
        <f>IF(B450=0,"",COUNTIFS('Extração'!O:O,"Parcialmente",'Extração'!J:J,A450)/B450)</f>
        <v/>
      </c>
      <c r="G450" s="12" t="str">
        <f>IF(B450=0,"",COUNTIFS('Extração'!N:N,"Não",'Extração'!J:J,A450)/B450)</f>
        <v/>
      </c>
      <c r="H450" s="12" t="str">
        <f>IF(B450=0,"",COUNTIFS('Extração'!O:O,"Não",'Extração'!J:J,A450)/B450)</f>
        <v/>
      </c>
      <c r="I450" s="12" t="str">
        <f>IF(B450=0,"",COUNTIFS('Extração'!P:P,"Igual",'Extração'!J:J,A450)/B450)</f>
        <v/>
      </c>
    </row>
    <row r="451">
      <c r="B451" s="12">
        <f>COUNTIF('Extração'!J:J,A451)</f>
        <v>0</v>
      </c>
      <c r="C451" s="12" t="str">
        <f>IF(B451=0,"",COUNTIFS('Extração'!N:N,"Sim",'Extração'!J:J,A451)/B451)</f>
        <v/>
      </c>
      <c r="D451" s="12" t="str">
        <f>IF(B451=0,"",COUNTIFS('Extração'!O:O,"Sim",'Extração'!J:J,A451)/B451)</f>
        <v/>
      </c>
      <c r="E451" s="12" t="str">
        <f>IF(B451=0,"",COUNTIFS('Extração'!N:N,"Parcialmente",'Extração'!J:J,A451)/B451)</f>
        <v/>
      </c>
      <c r="F451" s="12" t="str">
        <f>IF(B451=0,"",COUNTIFS('Extração'!O:O,"Parcialmente",'Extração'!J:J,A451)/B451)</f>
        <v/>
      </c>
      <c r="G451" s="12" t="str">
        <f>IF(B451=0,"",COUNTIFS('Extração'!N:N,"Não",'Extração'!J:J,A451)/B451)</f>
        <v/>
      </c>
      <c r="H451" s="12" t="str">
        <f>IF(B451=0,"",COUNTIFS('Extração'!O:O,"Não",'Extração'!J:J,A451)/B451)</f>
        <v/>
      </c>
      <c r="I451" s="12" t="str">
        <f>IF(B451=0,"",COUNTIFS('Extração'!P:P,"Igual",'Extração'!J:J,A451)/B451)</f>
        <v/>
      </c>
    </row>
    <row r="452">
      <c r="B452" s="12">
        <f>COUNTIF('Extração'!J:J,A452)</f>
        <v>0</v>
      </c>
      <c r="C452" s="12" t="str">
        <f>IF(B452=0,"",COUNTIFS('Extração'!N:N,"Sim",'Extração'!J:J,A452)/B452)</f>
        <v/>
      </c>
      <c r="D452" s="12" t="str">
        <f>IF(B452=0,"",COUNTIFS('Extração'!O:O,"Sim",'Extração'!J:J,A452)/B452)</f>
        <v/>
      </c>
      <c r="E452" s="12" t="str">
        <f>IF(B452=0,"",COUNTIFS('Extração'!N:N,"Parcialmente",'Extração'!J:J,A452)/B452)</f>
        <v/>
      </c>
      <c r="F452" s="12" t="str">
        <f>IF(B452=0,"",COUNTIFS('Extração'!O:O,"Parcialmente",'Extração'!J:J,A452)/B452)</f>
        <v/>
      </c>
      <c r="G452" s="12" t="str">
        <f>IF(B452=0,"",COUNTIFS('Extração'!N:N,"Não",'Extração'!J:J,A452)/B452)</f>
        <v/>
      </c>
      <c r="H452" s="12" t="str">
        <f>IF(B452=0,"",COUNTIFS('Extração'!O:O,"Não",'Extração'!J:J,A452)/B452)</f>
        <v/>
      </c>
      <c r="I452" s="12" t="str">
        <f>IF(B452=0,"",COUNTIFS('Extração'!P:P,"Igual",'Extração'!J:J,A452)/B452)</f>
        <v/>
      </c>
    </row>
    <row r="453">
      <c r="B453" s="12">
        <f>COUNTIF('Extração'!J:J,A453)</f>
        <v>0</v>
      </c>
      <c r="C453" s="12" t="str">
        <f>IF(B453=0,"",COUNTIFS('Extração'!N:N,"Sim",'Extração'!J:J,A453)/B453)</f>
        <v/>
      </c>
      <c r="D453" s="12" t="str">
        <f>IF(B453=0,"",COUNTIFS('Extração'!O:O,"Sim",'Extração'!J:J,A453)/B453)</f>
        <v/>
      </c>
      <c r="E453" s="12" t="str">
        <f>IF(B453=0,"",COUNTIFS('Extração'!N:N,"Parcialmente",'Extração'!J:J,A453)/B453)</f>
        <v/>
      </c>
      <c r="F453" s="12" t="str">
        <f>IF(B453=0,"",COUNTIFS('Extração'!O:O,"Parcialmente",'Extração'!J:J,A453)/B453)</f>
        <v/>
      </c>
      <c r="G453" s="12" t="str">
        <f>IF(B453=0,"",COUNTIFS('Extração'!N:N,"Não",'Extração'!J:J,A453)/B453)</f>
        <v/>
      </c>
      <c r="H453" s="12" t="str">
        <f>IF(B453=0,"",COUNTIFS('Extração'!O:O,"Não",'Extração'!J:J,A453)/B453)</f>
        <v/>
      </c>
      <c r="I453" s="12" t="str">
        <f>IF(B453=0,"",COUNTIFS('Extração'!P:P,"Igual",'Extração'!J:J,A453)/B453)</f>
        <v/>
      </c>
    </row>
    <row r="454">
      <c r="B454" s="12">
        <f>COUNTIF('Extração'!J:J,A454)</f>
        <v>0</v>
      </c>
      <c r="C454" s="12" t="str">
        <f>IF(B454=0,"",COUNTIFS('Extração'!N:N,"Sim",'Extração'!J:J,A454)/B454)</f>
        <v/>
      </c>
      <c r="D454" s="12" t="str">
        <f>IF(B454=0,"",COUNTIFS('Extração'!O:O,"Sim",'Extração'!J:J,A454)/B454)</f>
        <v/>
      </c>
      <c r="E454" s="12" t="str">
        <f>IF(B454=0,"",COUNTIFS('Extração'!N:N,"Parcialmente",'Extração'!J:J,A454)/B454)</f>
        <v/>
      </c>
      <c r="F454" s="12" t="str">
        <f>IF(B454=0,"",COUNTIFS('Extração'!O:O,"Parcialmente",'Extração'!J:J,A454)/B454)</f>
        <v/>
      </c>
      <c r="G454" s="12" t="str">
        <f>IF(B454=0,"",COUNTIFS('Extração'!N:N,"Não",'Extração'!J:J,A454)/B454)</f>
        <v/>
      </c>
      <c r="H454" s="12" t="str">
        <f>IF(B454=0,"",COUNTIFS('Extração'!O:O,"Não",'Extração'!J:J,A454)/B454)</f>
        <v/>
      </c>
      <c r="I454" s="12" t="str">
        <f>IF(B454=0,"",COUNTIFS('Extração'!P:P,"Igual",'Extração'!J:J,A454)/B454)</f>
        <v/>
      </c>
    </row>
    <row r="455">
      <c r="B455" s="12">
        <f>COUNTIF('Extração'!J:J,A455)</f>
        <v>0</v>
      </c>
      <c r="C455" s="12" t="str">
        <f>IF(B455=0,"",COUNTIFS('Extração'!N:N,"Sim",'Extração'!J:J,A455)/B455)</f>
        <v/>
      </c>
      <c r="D455" s="12" t="str">
        <f>IF(B455=0,"",COUNTIFS('Extração'!O:O,"Sim",'Extração'!J:J,A455)/B455)</f>
        <v/>
      </c>
      <c r="E455" s="12" t="str">
        <f>IF(B455=0,"",COUNTIFS('Extração'!N:N,"Parcialmente",'Extração'!J:J,A455)/B455)</f>
        <v/>
      </c>
      <c r="F455" s="12" t="str">
        <f>IF(B455=0,"",COUNTIFS('Extração'!O:O,"Parcialmente",'Extração'!J:J,A455)/B455)</f>
        <v/>
      </c>
      <c r="G455" s="12" t="str">
        <f>IF(B455=0,"",COUNTIFS('Extração'!N:N,"Não",'Extração'!J:J,A455)/B455)</f>
        <v/>
      </c>
      <c r="H455" s="12" t="str">
        <f>IF(B455=0,"",COUNTIFS('Extração'!O:O,"Não",'Extração'!J:J,A455)/B455)</f>
        <v/>
      </c>
      <c r="I455" s="12" t="str">
        <f>IF(B455=0,"",COUNTIFS('Extração'!P:P,"Igual",'Extração'!J:J,A455)/B455)</f>
        <v/>
      </c>
    </row>
    <row r="456">
      <c r="B456" s="12">
        <f>COUNTIF('Extração'!J:J,A456)</f>
        <v>0</v>
      </c>
      <c r="C456" s="12" t="str">
        <f>IF(B456=0,"",COUNTIFS('Extração'!N:N,"Sim",'Extração'!J:J,A456)/B456)</f>
        <v/>
      </c>
      <c r="D456" s="12" t="str">
        <f>IF(B456=0,"",COUNTIFS('Extração'!O:O,"Sim",'Extração'!J:J,A456)/B456)</f>
        <v/>
      </c>
      <c r="E456" s="12" t="str">
        <f>IF(B456=0,"",COUNTIFS('Extração'!N:N,"Parcialmente",'Extração'!J:J,A456)/B456)</f>
        <v/>
      </c>
      <c r="F456" s="12" t="str">
        <f>IF(B456=0,"",COUNTIFS('Extração'!O:O,"Parcialmente",'Extração'!J:J,A456)/B456)</f>
        <v/>
      </c>
      <c r="G456" s="12" t="str">
        <f>IF(B456=0,"",COUNTIFS('Extração'!N:N,"Não",'Extração'!J:J,A456)/B456)</f>
        <v/>
      </c>
      <c r="H456" s="12" t="str">
        <f>IF(B456=0,"",COUNTIFS('Extração'!O:O,"Não",'Extração'!J:J,A456)/B456)</f>
        <v/>
      </c>
      <c r="I456" s="12" t="str">
        <f>IF(B456=0,"",COUNTIFS('Extração'!P:P,"Igual",'Extração'!J:J,A456)/B456)</f>
        <v/>
      </c>
    </row>
    <row r="457">
      <c r="B457" s="12">
        <f>COUNTIF('Extração'!J:J,A457)</f>
        <v>0</v>
      </c>
      <c r="C457" s="12" t="str">
        <f>IF(B457=0,"",COUNTIFS('Extração'!N:N,"Sim",'Extração'!J:J,A457)/B457)</f>
        <v/>
      </c>
      <c r="D457" s="12" t="str">
        <f>IF(B457=0,"",COUNTIFS('Extração'!O:O,"Sim",'Extração'!J:J,A457)/B457)</f>
        <v/>
      </c>
      <c r="E457" s="12" t="str">
        <f>IF(B457=0,"",COUNTIFS('Extração'!N:N,"Parcialmente",'Extração'!J:J,A457)/B457)</f>
        <v/>
      </c>
      <c r="F457" s="12" t="str">
        <f>IF(B457=0,"",COUNTIFS('Extração'!O:O,"Parcialmente",'Extração'!J:J,A457)/B457)</f>
        <v/>
      </c>
      <c r="G457" s="12" t="str">
        <f>IF(B457=0,"",COUNTIFS('Extração'!N:N,"Não",'Extração'!J:J,A457)/B457)</f>
        <v/>
      </c>
      <c r="H457" s="12" t="str">
        <f>IF(B457=0,"",COUNTIFS('Extração'!O:O,"Não",'Extração'!J:J,A457)/B457)</f>
        <v/>
      </c>
      <c r="I457" s="12" t="str">
        <f>IF(B457=0,"",COUNTIFS('Extração'!P:P,"Igual",'Extração'!J:J,A457)/B457)</f>
        <v/>
      </c>
    </row>
    <row r="458">
      <c r="B458" s="12">
        <f>COUNTIF('Extração'!J:J,A458)</f>
        <v>0</v>
      </c>
      <c r="C458" s="12" t="str">
        <f>IF(B458=0,"",COUNTIFS('Extração'!N:N,"Sim",'Extração'!J:J,A458)/B458)</f>
        <v/>
      </c>
      <c r="D458" s="12" t="str">
        <f>IF(B458=0,"",COUNTIFS('Extração'!O:O,"Sim",'Extração'!J:J,A458)/B458)</f>
        <v/>
      </c>
      <c r="E458" s="12" t="str">
        <f>IF(B458=0,"",COUNTIFS('Extração'!N:N,"Parcialmente",'Extração'!J:J,A458)/B458)</f>
        <v/>
      </c>
      <c r="F458" s="12" t="str">
        <f>IF(B458=0,"",COUNTIFS('Extração'!O:O,"Parcialmente",'Extração'!J:J,A458)/B458)</f>
        <v/>
      </c>
      <c r="G458" s="12" t="str">
        <f>IF(B458=0,"",COUNTIFS('Extração'!N:N,"Não",'Extração'!J:J,A458)/B458)</f>
        <v/>
      </c>
      <c r="H458" s="12" t="str">
        <f>IF(B458=0,"",COUNTIFS('Extração'!O:O,"Não",'Extração'!J:J,A458)/B458)</f>
        <v/>
      </c>
      <c r="I458" s="12" t="str">
        <f>IF(B458=0,"",COUNTIFS('Extração'!P:P,"Igual",'Extração'!J:J,A458)/B458)</f>
        <v/>
      </c>
    </row>
    <row r="459">
      <c r="B459" s="12">
        <f>COUNTIF('Extração'!J:J,A459)</f>
        <v>0</v>
      </c>
      <c r="C459" s="12" t="str">
        <f>IF(B459=0,"",COUNTIFS('Extração'!N:N,"Sim",'Extração'!J:J,A459)/B459)</f>
        <v/>
      </c>
      <c r="D459" s="12" t="str">
        <f>IF(B459=0,"",COUNTIFS('Extração'!O:O,"Sim",'Extração'!J:J,A459)/B459)</f>
        <v/>
      </c>
      <c r="E459" s="12" t="str">
        <f>IF(B459=0,"",COUNTIFS('Extração'!N:N,"Parcialmente",'Extração'!J:J,A459)/B459)</f>
        <v/>
      </c>
      <c r="F459" s="12" t="str">
        <f>IF(B459=0,"",COUNTIFS('Extração'!O:O,"Parcialmente",'Extração'!J:J,A459)/B459)</f>
        <v/>
      </c>
      <c r="G459" s="12" t="str">
        <f>IF(B459=0,"",COUNTIFS('Extração'!N:N,"Não",'Extração'!J:J,A459)/B459)</f>
        <v/>
      </c>
      <c r="H459" s="12" t="str">
        <f>IF(B459=0,"",COUNTIFS('Extração'!O:O,"Não",'Extração'!J:J,A459)/B459)</f>
        <v/>
      </c>
      <c r="I459" s="12" t="str">
        <f>IF(B459=0,"",COUNTIFS('Extração'!P:P,"Igual",'Extração'!J:J,A459)/B459)</f>
        <v/>
      </c>
    </row>
    <row r="460">
      <c r="B460" s="12">
        <f>COUNTIF('Extração'!J:J,A460)</f>
        <v>0</v>
      </c>
      <c r="C460" s="12" t="str">
        <f>IF(B460=0,"",COUNTIFS('Extração'!N:N,"Sim",'Extração'!J:J,A460)/B460)</f>
        <v/>
      </c>
      <c r="D460" s="12" t="str">
        <f>IF(B460=0,"",COUNTIFS('Extração'!O:O,"Sim",'Extração'!J:J,A460)/B460)</f>
        <v/>
      </c>
      <c r="E460" s="12" t="str">
        <f>IF(B460=0,"",COUNTIFS('Extração'!N:N,"Parcialmente",'Extração'!J:J,A460)/B460)</f>
        <v/>
      </c>
      <c r="F460" s="12" t="str">
        <f>IF(B460=0,"",COUNTIFS('Extração'!O:O,"Parcialmente",'Extração'!J:J,A460)/B460)</f>
        <v/>
      </c>
      <c r="G460" s="12" t="str">
        <f>IF(B460=0,"",COUNTIFS('Extração'!N:N,"Não",'Extração'!J:J,A460)/B460)</f>
        <v/>
      </c>
      <c r="H460" s="12" t="str">
        <f>IF(B460=0,"",COUNTIFS('Extração'!O:O,"Não",'Extração'!J:J,A460)/B460)</f>
        <v/>
      </c>
      <c r="I460" s="12" t="str">
        <f>IF(B460=0,"",COUNTIFS('Extração'!P:P,"Igual",'Extração'!J:J,A460)/B460)</f>
        <v/>
      </c>
    </row>
    <row r="461">
      <c r="B461" s="12">
        <f>COUNTIF('Extração'!J:J,A461)</f>
        <v>0</v>
      </c>
      <c r="C461" s="12" t="str">
        <f>IF(B461=0,"",COUNTIFS('Extração'!N:N,"Sim",'Extração'!J:J,A461)/B461)</f>
        <v/>
      </c>
      <c r="D461" s="12" t="str">
        <f>IF(B461=0,"",COUNTIFS('Extração'!O:O,"Sim",'Extração'!J:J,A461)/B461)</f>
        <v/>
      </c>
      <c r="E461" s="12" t="str">
        <f>IF(B461=0,"",COUNTIFS('Extração'!N:N,"Parcialmente",'Extração'!J:J,A461)/B461)</f>
        <v/>
      </c>
      <c r="F461" s="12" t="str">
        <f>IF(B461=0,"",COUNTIFS('Extração'!O:O,"Parcialmente",'Extração'!J:J,A461)/B461)</f>
        <v/>
      </c>
      <c r="G461" s="12" t="str">
        <f>IF(B461=0,"",COUNTIFS('Extração'!N:N,"Não",'Extração'!J:J,A461)/B461)</f>
        <v/>
      </c>
      <c r="H461" s="12" t="str">
        <f>IF(B461=0,"",COUNTIFS('Extração'!O:O,"Não",'Extração'!J:J,A461)/B461)</f>
        <v/>
      </c>
      <c r="I461" s="12" t="str">
        <f>IF(B461=0,"",COUNTIFS('Extração'!P:P,"Igual",'Extração'!J:J,A461)/B461)</f>
        <v/>
      </c>
    </row>
    <row r="462">
      <c r="B462" s="12">
        <f>COUNTIF('Extração'!J:J,A462)</f>
        <v>0</v>
      </c>
      <c r="C462" s="12" t="str">
        <f>IF(B462=0,"",COUNTIFS('Extração'!N:N,"Sim",'Extração'!J:J,A462)/B462)</f>
        <v/>
      </c>
      <c r="D462" s="12" t="str">
        <f>IF(B462=0,"",COUNTIFS('Extração'!O:O,"Sim",'Extração'!J:J,A462)/B462)</f>
        <v/>
      </c>
      <c r="E462" s="12" t="str">
        <f>IF(B462=0,"",COUNTIFS('Extração'!N:N,"Parcialmente",'Extração'!J:J,A462)/B462)</f>
        <v/>
      </c>
      <c r="F462" s="12" t="str">
        <f>IF(B462=0,"",COUNTIFS('Extração'!O:O,"Parcialmente",'Extração'!J:J,A462)/B462)</f>
        <v/>
      </c>
      <c r="G462" s="12" t="str">
        <f>IF(B462=0,"",COUNTIFS('Extração'!N:N,"Não",'Extração'!J:J,A462)/B462)</f>
        <v/>
      </c>
      <c r="H462" s="12" t="str">
        <f>IF(B462=0,"",COUNTIFS('Extração'!O:O,"Não",'Extração'!J:J,A462)/B462)</f>
        <v/>
      </c>
      <c r="I462" s="12" t="str">
        <f>IF(B462=0,"",COUNTIFS('Extração'!P:P,"Igual",'Extração'!J:J,A462)/B462)</f>
        <v/>
      </c>
    </row>
    <row r="463">
      <c r="B463" s="12">
        <f>COUNTIF('Extração'!J:J,A463)</f>
        <v>0</v>
      </c>
      <c r="C463" s="12" t="str">
        <f>IF(B463=0,"",COUNTIFS('Extração'!N:N,"Sim",'Extração'!J:J,A463)/B463)</f>
        <v/>
      </c>
      <c r="D463" s="12" t="str">
        <f>IF(B463=0,"",COUNTIFS('Extração'!O:O,"Sim",'Extração'!J:J,A463)/B463)</f>
        <v/>
      </c>
      <c r="E463" s="12" t="str">
        <f>IF(B463=0,"",COUNTIFS('Extração'!N:N,"Parcialmente",'Extração'!J:J,A463)/B463)</f>
        <v/>
      </c>
      <c r="F463" s="12" t="str">
        <f>IF(B463=0,"",COUNTIFS('Extração'!O:O,"Parcialmente",'Extração'!J:J,A463)/B463)</f>
        <v/>
      </c>
      <c r="G463" s="12" t="str">
        <f>IF(B463=0,"",COUNTIFS('Extração'!N:N,"Não",'Extração'!J:J,A463)/B463)</f>
        <v/>
      </c>
      <c r="H463" s="12" t="str">
        <f>IF(B463=0,"",COUNTIFS('Extração'!O:O,"Não",'Extração'!J:J,A463)/B463)</f>
        <v/>
      </c>
      <c r="I463" s="12" t="str">
        <f>IF(B463=0,"",COUNTIFS('Extração'!P:P,"Igual",'Extração'!J:J,A463)/B463)</f>
        <v/>
      </c>
    </row>
    <row r="464">
      <c r="B464" s="12">
        <f>COUNTIF('Extração'!J:J,A464)</f>
        <v>0</v>
      </c>
      <c r="C464" s="12" t="str">
        <f>IF(B464=0,"",COUNTIFS('Extração'!N:N,"Sim",'Extração'!J:J,A464)/B464)</f>
        <v/>
      </c>
      <c r="D464" s="12" t="str">
        <f>IF(B464=0,"",COUNTIFS('Extração'!O:O,"Sim",'Extração'!J:J,A464)/B464)</f>
        <v/>
      </c>
      <c r="E464" s="12" t="str">
        <f>IF(B464=0,"",COUNTIFS('Extração'!N:N,"Parcialmente",'Extração'!J:J,A464)/B464)</f>
        <v/>
      </c>
      <c r="F464" s="12" t="str">
        <f>IF(B464=0,"",COUNTIFS('Extração'!O:O,"Parcialmente",'Extração'!J:J,A464)/B464)</f>
        <v/>
      </c>
      <c r="G464" s="12" t="str">
        <f>IF(B464=0,"",COUNTIFS('Extração'!N:N,"Não",'Extração'!J:J,A464)/B464)</f>
        <v/>
      </c>
      <c r="H464" s="12" t="str">
        <f>IF(B464=0,"",COUNTIFS('Extração'!O:O,"Não",'Extração'!J:J,A464)/B464)</f>
        <v/>
      </c>
      <c r="I464" s="12" t="str">
        <f>IF(B464=0,"",COUNTIFS('Extração'!P:P,"Igual",'Extração'!J:J,A464)/B464)</f>
        <v/>
      </c>
    </row>
    <row r="465">
      <c r="B465" s="12">
        <f>COUNTIF('Extração'!J:J,A465)</f>
        <v>0</v>
      </c>
      <c r="C465" s="12" t="str">
        <f>IF(B465=0,"",COUNTIFS('Extração'!N:N,"Sim",'Extração'!J:J,A465)/B465)</f>
        <v/>
      </c>
      <c r="D465" s="12" t="str">
        <f>IF(B465=0,"",COUNTIFS('Extração'!O:O,"Sim",'Extração'!J:J,A465)/B465)</f>
        <v/>
      </c>
      <c r="E465" s="12" t="str">
        <f>IF(B465=0,"",COUNTIFS('Extração'!N:N,"Parcialmente",'Extração'!J:J,A465)/B465)</f>
        <v/>
      </c>
      <c r="F465" s="12" t="str">
        <f>IF(B465=0,"",COUNTIFS('Extração'!O:O,"Parcialmente",'Extração'!J:J,A465)/B465)</f>
        <v/>
      </c>
      <c r="G465" s="12" t="str">
        <f>IF(B465=0,"",COUNTIFS('Extração'!N:N,"Não",'Extração'!J:J,A465)/B465)</f>
        <v/>
      </c>
      <c r="H465" s="12" t="str">
        <f>IF(B465=0,"",COUNTIFS('Extração'!O:O,"Não",'Extração'!J:J,A465)/B465)</f>
        <v/>
      </c>
      <c r="I465" s="12" t="str">
        <f>IF(B465=0,"",COUNTIFS('Extração'!P:P,"Igual",'Extração'!J:J,A465)/B465)</f>
        <v/>
      </c>
    </row>
    <row r="466">
      <c r="B466" s="12">
        <f>COUNTIF('Extração'!J:J,A466)</f>
        <v>0</v>
      </c>
      <c r="C466" s="12" t="str">
        <f>IF(B466=0,"",COUNTIFS('Extração'!N:N,"Sim",'Extração'!J:J,A466)/B466)</f>
        <v/>
      </c>
      <c r="D466" s="12" t="str">
        <f>IF(B466=0,"",COUNTIFS('Extração'!O:O,"Sim",'Extração'!J:J,A466)/B466)</f>
        <v/>
      </c>
      <c r="E466" s="12" t="str">
        <f>IF(B466=0,"",COUNTIFS('Extração'!N:N,"Parcialmente",'Extração'!J:J,A466)/B466)</f>
        <v/>
      </c>
      <c r="F466" s="12" t="str">
        <f>IF(B466=0,"",COUNTIFS('Extração'!O:O,"Parcialmente",'Extração'!J:J,A466)/B466)</f>
        <v/>
      </c>
      <c r="G466" s="12" t="str">
        <f>IF(B466=0,"",COUNTIFS('Extração'!N:N,"Não",'Extração'!J:J,A466)/B466)</f>
        <v/>
      </c>
      <c r="H466" s="12" t="str">
        <f>IF(B466=0,"",COUNTIFS('Extração'!O:O,"Não",'Extração'!J:J,A466)/B466)</f>
        <v/>
      </c>
      <c r="I466" s="12" t="str">
        <f>IF(B466=0,"",COUNTIFS('Extração'!P:P,"Igual",'Extração'!J:J,A466)/B466)</f>
        <v/>
      </c>
    </row>
    <row r="467">
      <c r="B467" s="12">
        <f>COUNTIF('Extração'!J:J,A467)</f>
        <v>0</v>
      </c>
      <c r="C467" s="12" t="str">
        <f>IF(B467=0,"",COUNTIFS('Extração'!N:N,"Sim",'Extração'!J:J,A467)/B467)</f>
        <v/>
      </c>
      <c r="D467" s="12" t="str">
        <f>IF(B467=0,"",COUNTIFS('Extração'!O:O,"Sim",'Extração'!J:J,A467)/B467)</f>
        <v/>
      </c>
      <c r="E467" s="12" t="str">
        <f>IF(B467=0,"",COUNTIFS('Extração'!N:N,"Parcialmente",'Extração'!J:J,A467)/B467)</f>
        <v/>
      </c>
      <c r="F467" s="12" t="str">
        <f>IF(B467=0,"",COUNTIFS('Extração'!O:O,"Parcialmente",'Extração'!J:J,A467)/B467)</f>
        <v/>
      </c>
      <c r="G467" s="12" t="str">
        <f>IF(B467=0,"",COUNTIFS('Extração'!N:N,"Não",'Extração'!J:J,A467)/B467)</f>
        <v/>
      </c>
      <c r="H467" s="12" t="str">
        <f>IF(B467=0,"",COUNTIFS('Extração'!O:O,"Não",'Extração'!J:J,A467)/B467)</f>
        <v/>
      </c>
      <c r="I467" s="12" t="str">
        <f>IF(B467=0,"",COUNTIFS('Extração'!P:P,"Igual",'Extração'!J:J,A467)/B467)</f>
        <v/>
      </c>
    </row>
    <row r="468">
      <c r="B468" s="12">
        <f>COUNTIF('Extração'!J:J,A468)</f>
        <v>0</v>
      </c>
      <c r="C468" s="12" t="str">
        <f>IF(B468=0,"",COUNTIFS('Extração'!N:N,"Sim",'Extração'!J:J,A468)/B468)</f>
        <v/>
      </c>
      <c r="D468" s="12" t="str">
        <f>IF(B468=0,"",COUNTIFS('Extração'!O:O,"Sim",'Extração'!J:J,A468)/B468)</f>
        <v/>
      </c>
      <c r="E468" s="12" t="str">
        <f>IF(B468=0,"",COUNTIFS('Extração'!N:N,"Parcialmente",'Extração'!J:J,A468)/B468)</f>
        <v/>
      </c>
      <c r="F468" s="12" t="str">
        <f>IF(B468=0,"",COUNTIFS('Extração'!O:O,"Parcialmente",'Extração'!J:J,A468)/B468)</f>
        <v/>
      </c>
      <c r="G468" s="12" t="str">
        <f>IF(B468=0,"",COUNTIFS('Extração'!N:N,"Não",'Extração'!J:J,A468)/B468)</f>
        <v/>
      </c>
      <c r="H468" s="12" t="str">
        <f>IF(B468=0,"",COUNTIFS('Extração'!O:O,"Não",'Extração'!J:J,A468)/B468)</f>
        <v/>
      </c>
      <c r="I468" s="12" t="str">
        <f>IF(B468=0,"",COUNTIFS('Extração'!P:P,"Igual",'Extração'!J:J,A468)/B468)</f>
        <v/>
      </c>
    </row>
    <row r="469">
      <c r="B469" s="12">
        <f>COUNTIF('Extração'!J:J,A469)</f>
        <v>0</v>
      </c>
      <c r="C469" s="12" t="str">
        <f>IF(B469=0,"",COUNTIFS('Extração'!N:N,"Sim",'Extração'!J:J,A469)/B469)</f>
        <v/>
      </c>
      <c r="D469" s="12" t="str">
        <f>IF(B469=0,"",COUNTIFS('Extração'!O:O,"Sim",'Extração'!J:J,A469)/B469)</f>
        <v/>
      </c>
      <c r="E469" s="12" t="str">
        <f>IF(B469=0,"",COUNTIFS('Extração'!N:N,"Parcialmente",'Extração'!J:J,A469)/B469)</f>
        <v/>
      </c>
      <c r="F469" s="12" t="str">
        <f>IF(B469=0,"",COUNTIFS('Extração'!O:O,"Parcialmente",'Extração'!J:J,A469)/B469)</f>
        <v/>
      </c>
      <c r="G469" s="12" t="str">
        <f>IF(B469=0,"",COUNTIFS('Extração'!N:N,"Não",'Extração'!J:J,A469)/B469)</f>
        <v/>
      </c>
      <c r="H469" s="12" t="str">
        <f>IF(B469=0,"",COUNTIFS('Extração'!O:O,"Não",'Extração'!J:J,A469)/B469)</f>
        <v/>
      </c>
      <c r="I469" s="12" t="str">
        <f>IF(B469=0,"",COUNTIFS('Extração'!P:P,"Igual",'Extração'!J:J,A469)/B469)</f>
        <v/>
      </c>
    </row>
    <row r="470">
      <c r="B470" s="12">
        <f>COUNTIF('Extração'!J:J,A470)</f>
        <v>0</v>
      </c>
      <c r="C470" s="12" t="str">
        <f>IF(B470=0,"",COUNTIFS('Extração'!N:N,"Sim",'Extração'!J:J,A470)/B470)</f>
        <v/>
      </c>
      <c r="D470" s="12" t="str">
        <f>IF(B470=0,"",COUNTIFS('Extração'!O:O,"Sim",'Extração'!J:J,A470)/B470)</f>
        <v/>
      </c>
      <c r="E470" s="12" t="str">
        <f>IF(B470=0,"",COUNTIFS('Extração'!N:N,"Parcialmente",'Extração'!J:J,A470)/B470)</f>
        <v/>
      </c>
      <c r="F470" s="12" t="str">
        <f>IF(B470=0,"",COUNTIFS('Extração'!O:O,"Parcialmente",'Extração'!J:J,A470)/B470)</f>
        <v/>
      </c>
      <c r="G470" s="12" t="str">
        <f>IF(B470=0,"",COUNTIFS('Extração'!N:N,"Não",'Extração'!J:J,A470)/B470)</f>
        <v/>
      </c>
      <c r="H470" s="12" t="str">
        <f>IF(B470=0,"",COUNTIFS('Extração'!O:O,"Não",'Extração'!J:J,A470)/B470)</f>
        <v/>
      </c>
      <c r="I470" s="12" t="str">
        <f>IF(B470=0,"",COUNTIFS('Extração'!P:P,"Igual",'Extração'!J:J,A470)/B470)</f>
        <v/>
      </c>
    </row>
    <row r="471">
      <c r="B471" s="12">
        <f>COUNTIF('Extração'!J:J,A471)</f>
        <v>0</v>
      </c>
      <c r="C471" s="12" t="str">
        <f>IF(B471=0,"",COUNTIFS('Extração'!N:N,"Sim",'Extração'!J:J,A471)/B471)</f>
        <v/>
      </c>
      <c r="D471" s="12" t="str">
        <f>IF(B471=0,"",COUNTIFS('Extração'!O:O,"Sim",'Extração'!J:J,A471)/B471)</f>
        <v/>
      </c>
      <c r="E471" s="12" t="str">
        <f>IF(B471=0,"",COUNTIFS('Extração'!N:N,"Parcialmente",'Extração'!J:J,A471)/B471)</f>
        <v/>
      </c>
      <c r="F471" s="12" t="str">
        <f>IF(B471=0,"",COUNTIFS('Extração'!O:O,"Parcialmente",'Extração'!J:J,A471)/B471)</f>
        <v/>
      </c>
      <c r="G471" s="12" t="str">
        <f>IF(B471=0,"",COUNTIFS('Extração'!N:N,"Não",'Extração'!J:J,A471)/B471)</f>
        <v/>
      </c>
      <c r="H471" s="12" t="str">
        <f>IF(B471=0,"",COUNTIFS('Extração'!O:O,"Não",'Extração'!J:J,A471)/B471)</f>
        <v/>
      </c>
      <c r="I471" s="12" t="str">
        <f>IF(B471=0,"",COUNTIFS('Extração'!P:P,"Igual",'Extração'!J:J,A471)/B471)</f>
        <v/>
      </c>
    </row>
    <row r="472">
      <c r="B472" s="12">
        <f>COUNTIF('Extração'!J:J,A472)</f>
        <v>0</v>
      </c>
      <c r="C472" s="12" t="str">
        <f>IF(B472=0,"",COUNTIFS('Extração'!N:N,"Sim",'Extração'!J:J,A472)/B472)</f>
        <v/>
      </c>
      <c r="D472" s="12" t="str">
        <f>IF(B472=0,"",COUNTIFS('Extração'!O:O,"Sim",'Extração'!J:J,A472)/B472)</f>
        <v/>
      </c>
      <c r="E472" s="12" t="str">
        <f>IF(B472=0,"",COUNTIFS('Extração'!N:N,"Parcialmente",'Extração'!J:J,A472)/B472)</f>
        <v/>
      </c>
      <c r="F472" s="12" t="str">
        <f>IF(B472=0,"",COUNTIFS('Extração'!O:O,"Parcialmente",'Extração'!J:J,A472)/B472)</f>
        <v/>
      </c>
      <c r="G472" s="12" t="str">
        <f>IF(B472=0,"",COUNTIFS('Extração'!N:N,"Não",'Extração'!J:J,A472)/B472)</f>
        <v/>
      </c>
      <c r="H472" s="12" t="str">
        <f>IF(B472=0,"",COUNTIFS('Extração'!O:O,"Não",'Extração'!J:J,A472)/B472)</f>
        <v/>
      </c>
      <c r="I472" s="12" t="str">
        <f>IF(B472=0,"",COUNTIFS('Extração'!P:P,"Igual",'Extração'!J:J,A472)/B472)</f>
        <v/>
      </c>
    </row>
    <row r="473">
      <c r="B473" s="12">
        <f>COUNTIF('Extração'!J:J,A473)</f>
        <v>0</v>
      </c>
      <c r="C473" s="12" t="str">
        <f>IF(B473=0,"",COUNTIFS('Extração'!N:N,"Sim",'Extração'!J:J,A473)/B473)</f>
        <v/>
      </c>
      <c r="D473" s="12" t="str">
        <f>IF(B473=0,"",COUNTIFS('Extração'!O:O,"Sim",'Extração'!J:J,A473)/B473)</f>
        <v/>
      </c>
      <c r="E473" s="12" t="str">
        <f>IF(B473=0,"",COUNTIFS('Extração'!N:N,"Parcialmente",'Extração'!J:J,A473)/B473)</f>
        <v/>
      </c>
      <c r="F473" s="12" t="str">
        <f>IF(B473=0,"",COUNTIFS('Extração'!O:O,"Parcialmente",'Extração'!J:J,A473)/B473)</f>
        <v/>
      </c>
      <c r="G473" s="12" t="str">
        <f>IF(B473=0,"",COUNTIFS('Extração'!N:N,"Não",'Extração'!J:J,A473)/B473)</f>
        <v/>
      </c>
      <c r="H473" s="12" t="str">
        <f>IF(B473=0,"",COUNTIFS('Extração'!O:O,"Não",'Extração'!J:J,A473)/B473)</f>
        <v/>
      </c>
      <c r="I473" s="12" t="str">
        <f>IF(B473=0,"",COUNTIFS('Extração'!P:P,"Igual",'Extração'!J:J,A473)/B473)</f>
        <v/>
      </c>
    </row>
    <row r="474">
      <c r="B474" s="12">
        <f>COUNTIF('Extração'!J:J,A474)</f>
        <v>0</v>
      </c>
      <c r="C474" s="12" t="str">
        <f>IF(B474=0,"",COUNTIFS('Extração'!N:N,"Sim",'Extração'!J:J,A474)/B474)</f>
        <v/>
      </c>
      <c r="D474" s="12" t="str">
        <f>IF(B474=0,"",COUNTIFS('Extração'!O:O,"Sim",'Extração'!J:J,A474)/B474)</f>
        <v/>
      </c>
      <c r="E474" s="12" t="str">
        <f>IF(B474=0,"",COUNTIFS('Extração'!N:N,"Parcialmente",'Extração'!J:J,A474)/B474)</f>
        <v/>
      </c>
      <c r="F474" s="12" t="str">
        <f>IF(B474=0,"",COUNTIFS('Extração'!O:O,"Parcialmente",'Extração'!J:J,A474)/B474)</f>
        <v/>
      </c>
      <c r="G474" s="12" t="str">
        <f>IF(B474=0,"",COUNTIFS('Extração'!N:N,"Não",'Extração'!J:J,A474)/B474)</f>
        <v/>
      </c>
      <c r="H474" s="12" t="str">
        <f>IF(B474=0,"",COUNTIFS('Extração'!O:O,"Não",'Extração'!J:J,A474)/B474)</f>
        <v/>
      </c>
      <c r="I474" s="12" t="str">
        <f>IF(B474=0,"",COUNTIFS('Extração'!P:P,"Igual",'Extração'!J:J,A474)/B474)</f>
        <v/>
      </c>
    </row>
    <row r="475">
      <c r="B475" s="12">
        <f>COUNTIF('Extração'!J:J,A475)</f>
        <v>0</v>
      </c>
      <c r="C475" s="12" t="str">
        <f>IF(B475=0,"",COUNTIFS('Extração'!N:N,"Sim",'Extração'!J:J,A475)/B475)</f>
        <v/>
      </c>
      <c r="D475" s="12" t="str">
        <f>IF(B475=0,"",COUNTIFS('Extração'!O:O,"Sim",'Extração'!J:J,A475)/B475)</f>
        <v/>
      </c>
      <c r="E475" s="12" t="str">
        <f>IF(B475=0,"",COUNTIFS('Extração'!N:N,"Parcialmente",'Extração'!J:J,A475)/B475)</f>
        <v/>
      </c>
      <c r="F475" s="12" t="str">
        <f>IF(B475=0,"",COUNTIFS('Extração'!O:O,"Parcialmente",'Extração'!J:J,A475)/B475)</f>
        <v/>
      </c>
      <c r="G475" s="12" t="str">
        <f>IF(B475=0,"",COUNTIFS('Extração'!N:N,"Não",'Extração'!J:J,A475)/B475)</f>
        <v/>
      </c>
      <c r="H475" s="12" t="str">
        <f>IF(B475=0,"",COUNTIFS('Extração'!O:O,"Não",'Extração'!J:J,A475)/B475)</f>
        <v/>
      </c>
      <c r="I475" s="12" t="str">
        <f>IF(B475=0,"",COUNTIFS('Extração'!P:P,"Igual",'Extração'!J:J,A475)/B475)</f>
        <v/>
      </c>
    </row>
    <row r="476">
      <c r="B476" s="12">
        <f>COUNTIF('Extração'!J:J,A476)</f>
        <v>0</v>
      </c>
      <c r="C476" s="12" t="str">
        <f>IF(B476=0,"",COUNTIFS('Extração'!N:N,"Sim",'Extração'!J:J,A476)/B476)</f>
        <v/>
      </c>
      <c r="D476" s="12" t="str">
        <f>IF(B476=0,"",COUNTIFS('Extração'!O:O,"Sim",'Extração'!J:J,A476)/B476)</f>
        <v/>
      </c>
      <c r="E476" s="12" t="str">
        <f>IF(B476=0,"",COUNTIFS('Extração'!N:N,"Parcialmente",'Extração'!J:J,A476)/B476)</f>
        <v/>
      </c>
      <c r="F476" s="12" t="str">
        <f>IF(B476=0,"",COUNTIFS('Extração'!O:O,"Parcialmente",'Extração'!J:J,A476)/B476)</f>
        <v/>
      </c>
      <c r="G476" s="12" t="str">
        <f>IF(B476=0,"",COUNTIFS('Extração'!N:N,"Não",'Extração'!J:J,A476)/B476)</f>
        <v/>
      </c>
      <c r="H476" s="12" t="str">
        <f>IF(B476=0,"",COUNTIFS('Extração'!O:O,"Não",'Extração'!J:J,A476)/B476)</f>
        <v/>
      </c>
      <c r="I476" s="12" t="str">
        <f>IF(B476=0,"",COUNTIFS('Extração'!P:P,"Igual",'Extração'!J:J,A476)/B476)</f>
        <v/>
      </c>
    </row>
    <row r="477">
      <c r="B477" s="12">
        <f>COUNTIF('Extração'!J:J,A477)</f>
        <v>0</v>
      </c>
      <c r="C477" s="12" t="str">
        <f>IF(B477=0,"",COUNTIFS('Extração'!N:N,"Sim",'Extração'!J:J,A477)/B477)</f>
        <v/>
      </c>
      <c r="D477" s="12" t="str">
        <f>IF(B477=0,"",COUNTIFS('Extração'!O:O,"Sim",'Extração'!J:J,A477)/B477)</f>
        <v/>
      </c>
      <c r="E477" s="12" t="str">
        <f>IF(B477=0,"",COUNTIFS('Extração'!N:N,"Parcialmente",'Extração'!J:J,A477)/B477)</f>
        <v/>
      </c>
      <c r="F477" s="12" t="str">
        <f>IF(B477=0,"",COUNTIFS('Extração'!O:O,"Parcialmente",'Extração'!J:J,A477)/B477)</f>
        <v/>
      </c>
      <c r="G477" s="12" t="str">
        <f>IF(B477=0,"",COUNTIFS('Extração'!N:N,"Não",'Extração'!J:J,A477)/B477)</f>
        <v/>
      </c>
      <c r="H477" s="12" t="str">
        <f>IF(B477=0,"",COUNTIFS('Extração'!O:O,"Não",'Extração'!J:J,A477)/B477)</f>
        <v/>
      </c>
      <c r="I477" s="12" t="str">
        <f>IF(B477=0,"",COUNTIFS('Extração'!P:P,"Igual",'Extração'!J:J,A477)/B477)</f>
        <v/>
      </c>
    </row>
    <row r="478">
      <c r="B478" s="12">
        <f>COUNTIF('Extração'!J:J,A478)</f>
        <v>0</v>
      </c>
      <c r="C478" s="12" t="str">
        <f>IF(B478=0,"",COUNTIFS('Extração'!N:N,"Sim",'Extração'!J:J,A478)/B478)</f>
        <v/>
      </c>
      <c r="D478" s="12" t="str">
        <f>IF(B478=0,"",COUNTIFS('Extração'!O:O,"Sim",'Extração'!J:J,A478)/B478)</f>
        <v/>
      </c>
      <c r="E478" s="12" t="str">
        <f>IF(B478=0,"",COUNTIFS('Extração'!N:N,"Parcialmente",'Extração'!J:J,A478)/B478)</f>
        <v/>
      </c>
      <c r="F478" s="12" t="str">
        <f>IF(B478=0,"",COUNTIFS('Extração'!O:O,"Parcialmente",'Extração'!J:J,A478)/B478)</f>
        <v/>
      </c>
      <c r="G478" s="12" t="str">
        <f>IF(B478=0,"",COUNTIFS('Extração'!N:N,"Não",'Extração'!J:J,A478)/B478)</f>
        <v/>
      </c>
      <c r="H478" s="12" t="str">
        <f>IF(B478=0,"",COUNTIFS('Extração'!O:O,"Não",'Extração'!J:J,A478)/B478)</f>
        <v/>
      </c>
      <c r="I478" s="12" t="str">
        <f>IF(B478=0,"",COUNTIFS('Extração'!P:P,"Igual",'Extração'!J:J,A478)/B478)</f>
        <v/>
      </c>
    </row>
    <row r="479">
      <c r="B479" s="12">
        <f>COUNTIF('Extração'!J:J,A479)</f>
        <v>0</v>
      </c>
      <c r="C479" s="12" t="str">
        <f>IF(B479=0,"",COUNTIFS('Extração'!N:N,"Sim",'Extração'!J:J,A479)/B479)</f>
        <v/>
      </c>
      <c r="D479" s="12" t="str">
        <f>IF(B479=0,"",COUNTIFS('Extração'!O:O,"Sim",'Extração'!J:J,A479)/B479)</f>
        <v/>
      </c>
      <c r="E479" s="12" t="str">
        <f>IF(B479=0,"",COUNTIFS('Extração'!N:N,"Parcialmente",'Extração'!J:J,A479)/B479)</f>
        <v/>
      </c>
      <c r="F479" s="12" t="str">
        <f>IF(B479=0,"",COUNTIFS('Extração'!O:O,"Parcialmente",'Extração'!J:J,A479)/B479)</f>
        <v/>
      </c>
      <c r="G479" s="12" t="str">
        <f>IF(B479=0,"",COUNTIFS('Extração'!N:N,"Não",'Extração'!J:J,A479)/B479)</f>
        <v/>
      </c>
      <c r="H479" s="12" t="str">
        <f>IF(B479=0,"",COUNTIFS('Extração'!O:O,"Não",'Extração'!J:J,A479)/B479)</f>
        <v/>
      </c>
      <c r="I479" s="12" t="str">
        <f>IF(B479=0,"",COUNTIFS('Extração'!P:P,"Igual",'Extração'!J:J,A479)/B479)</f>
        <v/>
      </c>
    </row>
    <row r="480">
      <c r="B480" s="12">
        <f>COUNTIF('Extração'!J:J,A480)</f>
        <v>0</v>
      </c>
      <c r="C480" s="12" t="str">
        <f>IF(B480=0,"",COUNTIFS('Extração'!N:N,"Sim",'Extração'!J:J,A480)/B480)</f>
        <v/>
      </c>
      <c r="D480" s="12" t="str">
        <f>IF(B480=0,"",COUNTIFS('Extração'!O:O,"Sim",'Extração'!J:J,A480)/B480)</f>
        <v/>
      </c>
      <c r="E480" s="12" t="str">
        <f>IF(B480=0,"",COUNTIFS('Extração'!N:N,"Parcialmente",'Extração'!J:J,A480)/B480)</f>
        <v/>
      </c>
      <c r="F480" s="12" t="str">
        <f>IF(B480=0,"",COUNTIFS('Extração'!O:O,"Parcialmente",'Extração'!J:J,A480)/B480)</f>
        <v/>
      </c>
      <c r="G480" s="12" t="str">
        <f>IF(B480=0,"",COUNTIFS('Extração'!N:N,"Não",'Extração'!J:J,A480)/B480)</f>
        <v/>
      </c>
      <c r="H480" s="12" t="str">
        <f>IF(B480=0,"",COUNTIFS('Extração'!O:O,"Não",'Extração'!J:J,A480)/B480)</f>
        <v/>
      </c>
      <c r="I480" s="12" t="str">
        <f>IF(B480=0,"",COUNTIFS('Extração'!P:P,"Igual",'Extração'!J:J,A480)/B480)</f>
        <v/>
      </c>
    </row>
    <row r="481">
      <c r="B481" s="12">
        <f>COUNTIF('Extração'!J:J,A481)</f>
        <v>0</v>
      </c>
      <c r="C481" s="12" t="str">
        <f>IF(B481=0,"",COUNTIFS('Extração'!N:N,"Sim",'Extração'!J:J,A481)/B481)</f>
        <v/>
      </c>
      <c r="D481" s="12" t="str">
        <f>IF(B481=0,"",COUNTIFS('Extração'!O:O,"Sim",'Extração'!J:J,A481)/B481)</f>
        <v/>
      </c>
      <c r="E481" s="12" t="str">
        <f>IF(B481=0,"",COUNTIFS('Extração'!N:N,"Parcialmente",'Extração'!J:J,A481)/B481)</f>
        <v/>
      </c>
      <c r="F481" s="12" t="str">
        <f>IF(B481=0,"",COUNTIFS('Extração'!O:O,"Parcialmente",'Extração'!J:J,A481)/B481)</f>
        <v/>
      </c>
      <c r="G481" s="12" t="str">
        <f>IF(B481=0,"",COUNTIFS('Extração'!N:N,"Não",'Extração'!J:J,A481)/B481)</f>
        <v/>
      </c>
      <c r="H481" s="12" t="str">
        <f>IF(B481=0,"",COUNTIFS('Extração'!O:O,"Não",'Extração'!J:J,A481)/B481)</f>
        <v/>
      </c>
      <c r="I481" s="12" t="str">
        <f>IF(B481=0,"",COUNTIFS('Extração'!P:P,"Igual",'Extração'!J:J,A481)/B481)</f>
        <v/>
      </c>
    </row>
    <row r="482">
      <c r="B482" s="12">
        <f>COUNTIF('Extração'!J:J,A482)</f>
        <v>0</v>
      </c>
      <c r="C482" s="12" t="str">
        <f>IF(B482=0,"",COUNTIFS('Extração'!N:N,"Sim",'Extração'!J:J,A482)/B482)</f>
        <v/>
      </c>
      <c r="D482" s="12" t="str">
        <f>IF(B482=0,"",COUNTIFS('Extração'!O:O,"Sim",'Extração'!J:J,A482)/B482)</f>
        <v/>
      </c>
      <c r="E482" s="12" t="str">
        <f>IF(B482=0,"",COUNTIFS('Extração'!N:N,"Parcialmente",'Extração'!J:J,A482)/B482)</f>
        <v/>
      </c>
      <c r="F482" s="12" t="str">
        <f>IF(B482=0,"",COUNTIFS('Extração'!O:O,"Parcialmente",'Extração'!J:J,A482)/B482)</f>
        <v/>
      </c>
      <c r="G482" s="12" t="str">
        <f>IF(B482=0,"",COUNTIFS('Extração'!N:N,"Não",'Extração'!J:J,A482)/B482)</f>
        <v/>
      </c>
      <c r="H482" s="12" t="str">
        <f>IF(B482=0,"",COUNTIFS('Extração'!O:O,"Não",'Extração'!J:J,A482)/B482)</f>
        <v/>
      </c>
      <c r="I482" s="12" t="str">
        <f>IF(B482=0,"",COUNTIFS('Extração'!P:P,"Igual",'Extração'!J:J,A482)/B482)</f>
        <v/>
      </c>
    </row>
    <row r="483">
      <c r="B483" s="12">
        <f>COUNTIF('Extração'!J:J,A483)</f>
        <v>0</v>
      </c>
      <c r="C483" s="12" t="str">
        <f>IF(B483=0,"",COUNTIFS('Extração'!N:N,"Sim",'Extração'!J:J,A483)/B483)</f>
        <v/>
      </c>
      <c r="D483" s="12" t="str">
        <f>IF(B483=0,"",COUNTIFS('Extração'!O:O,"Sim",'Extração'!J:J,A483)/B483)</f>
        <v/>
      </c>
      <c r="E483" s="12" t="str">
        <f>IF(B483=0,"",COUNTIFS('Extração'!N:N,"Parcialmente",'Extração'!J:J,A483)/B483)</f>
        <v/>
      </c>
      <c r="F483" s="12" t="str">
        <f>IF(B483=0,"",COUNTIFS('Extração'!O:O,"Parcialmente",'Extração'!J:J,A483)/B483)</f>
        <v/>
      </c>
      <c r="G483" s="12" t="str">
        <f>IF(B483=0,"",COUNTIFS('Extração'!N:N,"Não",'Extração'!J:J,A483)/B483)</f>
        <v/>
      </c>
      <c r="H483" s="12" t="str">
        <f>IF(B483=0,"",COUNTIFS('Extração'!O:O,"Não",'Extração'!J:J,A483)/B483)</f>
        <v/>
      </c>
      <c r="I483" s="12" t="str">
        <f>IF(B483=0,"",COUNTIFS('Extração'!P:P,"Igual",'Extração'!J:J,A483)/B483)</f>
        <v/>
      </c>
    </row>
    <row r="484">
      <c r="B484" s="12">
        <f>COUNTIF('Extração'!J:J,A484)</f>
        <v>0</v>
      </c>
      <c r="C484" s="12" t="str">
        <f>IF(B484=0,"",COUNTIFS('Extração'!N:N,"Sim",'Extração'!J:J,A484)/B484)</f>
        <v/>
      </c>
      <c r="D484" s="12" t="str">
        <f>IF(B484=0,"",COUNTIFS('Extração'!O:O,"Sim",'Extração'!J:J,A484)/B484)</f>
        <v/>
      </c>
      <c r="E484" s="12" t="str">
        <f>IF(B484=0,"",COUNTIFS('Extração'!N:N,"Parcialmente",'Extração'!J:J,A484)/B484)</f>
        <v/>
      </c>
      <c r="F484" s="12" t="str">
        <f>IF(B484=0,"",COUNTIFS('Extração'!O:O,"Parcialmente",'Extração'!J:J,A484)/B484)</f>
        <v/>
      </c>
      <c r="G484" s="12" t="str">
        <f>IF(B484=0,"",COUNTIFS('Extração'!N:N,"Não",'Extração'!J:J,A484)/B484)</f>
        <v/>
      </c>
      <c r="H484" s="12" t="str">
        <f>IF(B484=0,"",COUNTIFS('Extração'!O:O,"Não",'Extração'!J:J,A484)/B484)</f>
        <v/>
      </c>
      <c r="I484" s="12" t="str">
        <f>IF(B484=0,"",COUNTIFS('Extração'!P:P,"Igual",'Extração'!J:J,A484)/B484)</f>
        <v/>
      </c>
    </row>
    <row r="485">
      <c r="B485" s="12">
        <f>COUNTIF('Extração'!J:J,A485)</f>
        <v>0</v>
      </c>
      <c r="C485" s="12" t="str">
        <f>IF(B485=0,"",COUNTIFS('Extração'!N:N,"Sim",'Extração'!J:J,A485)/B485)</f>
        <v/>
      </c>
      <c r="D485" s="12" t="str">
        <f>IF(B485=0,"",COUNTIFS('Extração'!O:O,"Sim",'Extração'!J:J,A485)/B485)</f>
        <v/>
      </c>
      <c r="E485" s="12" t="str">
        <f>IF(B485=0,"",COUNTIFS('Extração'!N:N,"Parcialmente",'Extração'!J:J,A485)/B485)</f>
        <v/>
      </c>
      <c r="F485" s="12" t="str">
        <f>IF(B485=0,"",COUNTIFS('Extração'!O:O,"Parcialmente",'Extração'!J:J,A485)/B485)</f>
        <v/>
      </c>
      <c r="G485" s="12" t="str">
        <f>IF(B485=0,"",COUNTIFS('Extração'!N:N,"Não",'Extração'!J:J,A485)/B485)</f>
        <v/>
      </c>
      <c r="H485" s="12" t="str">
        <f>IF(B485=0,"",COUNTIFS('Extração'!O:O,"Não",'Extração'!J:J,A485)/B485)</f>
        <v/>
      </c>
      <c r="I485" s="12" t="str">
        <f>IF(B485=0,"",COUNTIFS('Extração'!P:P,"Igual",'Extração'!J:J,A485)/B485)</f>
        <v/>
      </c>
    </row>
    <row r="486">
      <c r="B486" s="12">
        <f>COUNTIF('Extração'!J:J,A486)</f>
        <v>0</v>
      </c>
      <c r="C486" s="12" t="str">
        <f>IF(B486=0,"",COUNTIFS('Extração'!N:N,"Sim",'Extração'!J:J,A486)/B486)</f>
        <v/>
      </c>
      <c r="D486" s="12" t="str">
        <f>IF(B486=0,"",COUNTIFS('Extração'!O:O,"Sim",'Extração'!J:J,A486)/B486)</f>
        <v/>
      </c>
      <c r="E486" s="12" t="str">
        <f>IF(B486=0,"",COUNTIFS('Extração'!N:N,"Parcialmente",'Extração'!J:J,A486)/B486)</f>
        <v/>
      </c>
      <c r="F486" s="12" t="str">
        <f>IF(B486=0,"",COUNTIFS('Extração'!O:O,"Parcialmente",'Extração'!J:J,A486)/B486)</f>
        <v/>
      </c>
      <c r="G486" s="12" t="str">
        <f>IF(B486=0,"",COUNTIFS('Extração'!N:N,"Não",'Extração'!J:J,A486)/B486)</f>
        <v/>
      </c>
      <c r="H486" s="12" t="str">
        <f>IF(B486=0,"",COUNTIFS('Extração'!O:O,"Não",'Extração'!J:J,A486)/B486)</f>
        <v/>
      </c>
      <c r="I486" s="12" t="str">
        <f>IF(B486=0,"",COUNTIFS('Extração'!P:P,"Igual",'Extração'!J:J,A486)/B486)</f>
        <v/>
      </c>
    </row>
    <row r="487">
      <c r="B487" s="12">
        <f>COUNTIF('Extração'!J:J,A487)</f>
        <v>0</v>
      </c>
      <c r="C487" s="12" t="str">
        <f>IF(B487=0,"",COUNTIFS('Extração'!N:N,"Sim",'Extração'!J:J,A487)/B487)</f>
        <v/>
      </c>
      <c r="D487" s="12" t="str">
        <f>IF(B487=0,"",COUNTIFS('Extração'!O:O,"Sim",'Extração'!J:J,A487)/B487)</f>
        <v/>
      </c>
      <c r="E487" s="12" t="str">
        <f>IF(B487=0,"",COUNTIFS('Extração'!N:N,"Parcialmente",'Extração'!J:J,A487)/B487)</f>
        <v/>
      </c>
      <c r="F487" s="12" t="str">
        <f>IF(B487=0,"",COUNTIFS('Extração'!O:O,"Parcialmente",'Extração'!J:J,A487)/B487)</f>
        <v/>
      </c>
      <c r="G487" s="12" t="str">
        <f>IF(B487=0,"",COUNTIFS('Extração'!N:N,"Não",'Extração'!J:J,A487)/B487)</f>
        <v/>
      </c>
      <c r="H487" s="12" t="str">
        <f>IF(B487=0,"",COUNTIFS('Extração'!O:O,"Não",'Extração'!J:J,A487)/B487)</f>
        <v/>
      </c>
      <c r="I487" s="12" t="str">
        <f>IF(B487=0,"",COUNTIFS('Extração'!P:P,"Igual",'Extração'!J:J,A487)/B487)</f>
        <v/>
      </c>
    </row>
    <row r="488">
      <c r="B488" s="12">
        <f>COUNTIF('Extração'!J:J,A488)</f>
        <v>0</v>
      </c>
      <c r="C488" s="12" t="str">
        <f>IF(B488=0,"",COUNTIFS('Extração'!N:N,"Sim",'Extração'!J:J,A488)/B488)</f>
        <v/>
      </c>
      <c r="D488" s="12" t="str">
        <f>IF(B488=0,"",COUNTIFS('Extração'!O:O,"Sim",'Extração'!J:J,A488)/B488)</f>
        <v/>
      </c>
      <c r="E488" s="12" t="str">
        <f>IF(B488=0,"",COUNTIFS('Extração'!N:N,"Parcialmente",'Extração'!J:J,A488)/B488)</f>
        <v/>
      </c>
      <c r="F488" s="12" t="str">
        <f>IF(B488=0,"",COUNTIFS('Extração'!O:O,"Parcialmente",'Extração'!J:J,A488)/B488)</f>
        <v/>
      </c>
      <c r="G488" s="12" t="str">
        <f>IF(B488=0,"",COUNTIFS('Extração'!N:N,"Não",'Extração'!J:J,A488)/B488)</f>
        <v/>
      </c>
      <c r="H488" s="12" t="str">
        <f>IF(B488=0,"",COUNTIFS('Extração'!O:O,"Não",'Extração'!J:J,A488)/B488)</f>
        <v/>
      </c>
      <c r="I488" s="12" t="str">
        <f>IF(B488=0,"",COUNTIFS('Extração'!P:P,"Igual",'Extração'!J:J,A488)/B488)</f>
        <v/>
      </c>
    </row>
    <row r="489">
      <c r="B489" s="12">
        <f>COUNTIF('Extração'!J:J,A489)</f>
        <v>0</v>
      </c>
      <c r="C489" s="12" t="str">
        <f>IF(B489=0,"",COUNTIFS('Extração'!N:N,"Sim",'Extração'!J:J,A489)/B489)</f>
        <v/>
      </c>
      <c r="D489" s="12" t="str">
        <f>IF(B489=0,"",COUNTIFS('Extração'!O:O,"Sim",'Extração'!J:J,A489)/B489)</f>
        <v/>
      </c>
      <c r="E489" s="12" t="str">
        <f>IF(B489=0,"",COUNTIFS('Extração'!N:N,"Parcialmente",'Extração'!J:J,A489)/B489)</f>
        <v/>
      </c>
      <c r="F489" s="12" t="str">
        <f>IF(B489=0,"",COUNTIFS('Extração'!O:O,"Parcialmente",'Extração'!J:J,A489)/B489)</f>
        <v/>
      </c>
      <c r="G489" s="12" t="str">
        <f>IF(B489=0,"",COUNTIFS('Extração'!N:N,"Não",'Extração'!J:J,A489)/B489)</f>
        <v/>
      </c>
      <c r="H489" s="12" t="str">
        <f>IF(B489=0,"",COUNTIFS('Extração'!O:O,"Não",'Extração'!J:J,A489)/B489)</f>
        <v/>
      </c>
      <c r="I489" s="12" t="str">
        <f>IF(B489=0,"",COUNTIFS('Extração'!P:P,"Igual",'Extração'!J:J,A489)/B489)</f>
        <v/>
      </c>
    </row>
    <row r="490">
      <c r="B490" s="12">
        <f>COUNTIF('Extração'!J:J,A490)</f>
        <v>0</v>
      </c>
      <c r="C490" s="12" t="str">
        <f>IF(B490=0,"",COUNTIFS('Extração'!N:N,"Sim",'Extração'!J:J,A490)/B490)</f>
        <v/>
      </c>
      <c r="D490" s="12" t="str">
        <f>IF(B490=0,"",COUNTIFS('Extração'!O:O,"Sim",'Extração'!J:J,A490)/B490)</f>
        <v/>
      </c>
      <c r="E490" s="12" t="str">
        <f>IF(B490=0,"",COUNTIFS('Extração'!N:N,"Parcialmente",'Extração'!J:J,A490)/B490)</f>
        <v/>
      </c>
      <c r="F490" s="12" t="str">
        <f>IF(B490=0,"",COUNTIFS('Extração'!O:O,"Parcialmente",'Extração'!J:J,A490)/B490)</f>
        <v/>
      </c>
      <c r="G490" s="12" t="str">
        <f>IF(B490=0,"",COUNTIFS('Extração'!N:N,"Não",'Extração'!J:J,A490)/B490)</f>
        <v/>
      </c>
      <c r="H490" s="12" t="str">
        <f>IF(B490=0,"",COUNTIFS('Extração'!O:O,"Não",'Extração'!J:J,A490)/B490)</f>
        <v/>
      </c>
      <c r="I490" s="12" t="str">
        <f>IF(B490=0,"",COUNTIFS('Extração'!P:P,"Igual",'Extração'!J:J,A490)/B490)</f>
        <v/>
      </c>
    </row>
    <row r="491">
      <c r="B491" s="12">
        <f>COUNTIF('Extração'!J:J,A491)</f>
        <v>0</v>
      </c>
      <c r="C491" s="12" t="str">
        <f>IF(B491=0,"",COUNTIFS('Extração'!N:N,"Sim",'Extração'!J:J,A491)/B491)</f>
        <v/>
      </c>
      <c r="D491" s="12" t="str">
        <f>IF(B491=0,"",COUNTIFS('Extração'!O:O,"Sim",'Extração'!J:J,A491)/B491)</f>
        <v/>
      </c>
      <c r="E491" s="12" t="str">
        <f>IF(B491=0,"",COUNTIFS('Extração'!N:N,"Parcialmente",'Extração'!J:J,A491)/B491)</f>
        <v/>
      </c>
      <c r="F491" s="12" t="str">
        <f>IF(B491=0,"",COUNTIFS('Extração'!O:O,"Parcialmente",'Extração'!J:J,A491)/B491)</f>
        <v/>
      </c>
      <c r="G491" s="12" t="str">
        <f>IF(B491=0,"",COUNTIFS('Extração'!N:N,"Não",'Extração'!J:J,A491)/B491)</f>
        <v/>
      </c>
      <c r="H491" s="12" t="str">
        <f>IF(B491=0,"",COUNTIFS('Extração'!O:O,"Não",'Extração'!J:J,A491)/B491)</f>
        <v/>
      </c>
      <c r="I491" s="12" t="str">
        <f>IF(B491=0,"",COUNTIFS('Extração'!P:P,"Igual",'Extração'!J:J,A491)/B491)</f>
        <v/>
      </c>
    </row>
    <row r="492">
      <c r="B492" s="12">
        <f>COUNTIF('Extração'!J:J,A492)</f>
        <v>0</v>
      </c>
      <c r="C492" s="12" t="str">
        <f>IF(B492=0,"",COUNTIFS('Extração'!N:N,"Sim",'Extração'!J:J,A492)/B492)</f>
        <v/>
      </c>
      <c r="D492" s="12" t="str">
        <f>IF(B492=0,"",COUNTIFS('Extração'!O:O,"Sim",'Extração'!J:J,A492)/B492)</f>
        <v/>
      </c>
      <c r="E492" s="12" t="str">
        <f>IF(B492=0,"",COUNTIFS('Extração'!N:N,"Parcialmente",'Extração'!J:J,A492)/B492)</f>
        <v/>
      </c>
      <c r="F492" s="12" t="str">
        <f>IF(B492=0,"",COUNTIFS('Extração'!O:O,"Parcialmente",'Extração'!J:J,A492)/B492)</f>
        <v/>
      </c>
      <c r="G492" s="12" t="str">
        <f>IF(B492=0,"",COUNTIFS('Extração'!N:N,"Não",'Extração'!J:J,A492)/B492)</f>
        <v/>
      </c>
      <c r="H492" s="12" t="str">
        <f>IF(B492=0,"",COUNTIFS('Extração'!O:O,"Não",'Extração'!J:J,A492)/B492)</f>
        <v/>
      </c>
      <c r="I492" s="12" t="str">
        <f>IF(B492=0,"",COUNTIFS('Extração'!P:P,"Igual",'Extração'!J:J,A492)/B492)</f>
        <v/>
      </c>
    </row>
    <row r="493">
      <c r="B493" s="12">
        <f>COUNTIF('Extração'!J:J,A493)</f>
        <v>0</v>
      </c>
      <c r="C493" s="12" t="str">
        <f>IF(B493=0,"",COUNTIFS('Extração'!N:N,"Sim",'Extração'!J:J,A493)/B493)</f>
        <v/>
      </c>
      <c r="D493" s="12" t="str">
        <f>IF(B493=0,"",COUNTIFS('Extração'!O:O,"Sim",'Extração'!J:J,A493)/B493)</f>
        <v/>
      </c>
      <c r="E493" s="12" t="str">
        <f>IF(B493=0,"",COUNTIFS('Extração'!N:N,"Parcialmente",'Extração'!J:J,A493)/B493)</f>
        <v/>
      </c>
      <c r="F493" s="12" t="str">
        <f>IF(B493=0,"",COUNTIFS('Extração'!O:O,"Parcialmente",'Extração'!J:J,A493)/B493)</f>
        <v/>
      </c>
      <c r="G493" s="12" t="str">
        <f>IF(B493=0,"",COUNTIFS('Extração'!N:N,"Não",'Extração'!J:J,A493)/B493)</f>
        <v/>
      </c>
      <c r="H493" s="12" t="str">
        <f>IF(B493=0,"",COUNTIFS('Extração'!O:O,"Não",'Extração'!J:J,A493)/B493)</f>
        <v/>
      </c>
      <c r="I493" s="12" t="str">
        <f>IF(B493=0,"",COUNTIFS('Extração'!P:P,"Igual",'Extração'!J:J,A493)/B493)</f>
        <v/>
      </c>
    </row>
    <row r="494">
      <c r="B494" s="12">
        <f>COUNTIF('Extração'!J:J,A494)</f>
        <v>0</v>
      </c>
      <c r="C494" s="12" t="str">
        <f>IF(B494=0,"",COUNTIFS('Extração'!N:N,"Sim",'Extração'!J:J,A494)/B494)</f>
        <v/>
      </c>
      <c r="D494" s="12" t="str">
        <f>IF(B494=0,"",COUNTIFS('Extração'!O:O,"Sim",'Extração'!J:J,A494)/B494)</f>
        <v/>
      </c>
      <c r="E494" s="12" t="str">
        <f>IF(B494=0,"",COUNTIFS('Extração'!N:N,"Parcialmente",'Extração'!J:J,A494)/B494)</f>
        <v/>
      </c>
      <c r="F494" s="12" t="str">
        <f>IF(B494=0,"",COUNTIFS('Extração'!O:O,"Parcialmente",'Extração'!J:J,A494)/B494)</f>
        <v/>
      </c>
      <c r="G494" s="12" t="str">
        <f>IF(B494=0,"",COUNTIFS('Extração'!N:N,"Não",'Extração'!J:J,A494)/B494)</f>
        <v/>
      </c>
      <c r="H494" s="12" t="str">
        <f>IF(B494=0,"",COUNTIFS('Extração'!O:O,"Não",'Extração'!J:J,A494)/B494)</f>
        <v/>
      </c>
      <c r="I494" s="12" t="str">
        <f>IF(B494=0,"",COUNTIFS('Extração'!P:P,"Igual",'Extração'!J:J,A494)/B494)</f>
        <v/>
      </c>
    </row>
    <row r="495">
      <c r="B495" s="12">
        <f>COUNTIF('Extração'!J:J,A495)</f>
        <v>0</v>
      </c>
      <c r="C495" s="12" t="str">
        <f>IF(B495=0,"",COUNTIFS('Extração'!N:N,"Sim",'Extração'!J:J,A495)/B495)</f>
        <v/>
      </c>
      <c r="D495" s="12" t="str">
        <f>IF(B495=0,"",COUNTIFS('Extração'!O:O,"Sim",'Extração'!J:J,A495)/B495)</f>
        <v/>
      </c>
      <c r="E495" s="12" t="str">
        <f>IF(B495=0,"",COUNTIFS('Extração'!N:N,"Parcialmente",'Extração'!J:J,A495)/B495)</f>
        <v/>
      </c>
      <c r="F495" s="12" t="str">
        <f>IF(B495=0,"",COUNTIFS('Extração'!O:O,"Parcialmente",'Extração'!J:J,A495)/B495)</f>
        <v/>
      </c>
      <c r="G495" s="12" t="str">
        <f>IF(B495=0,"",COUNTIFS('Extração'!N:N,"Não",'Extração'!J:J,A495)/B495)</f>
        <v/>
      </c>
      <c r="H495" s="12" t="str">
        <f>IF(B495=0,"",COUNTIFS('Extração'!O:O,"Não",'Extração'!J:J,A495)/B495)</f>
        <v/>
      </c>
      <c r="I495" s="12" t="str">
        <f>IF(B495=0,"",COUNTIFS('Extração'!P:P,"Igual",'Extração'!J:J,A495)/B495)</f>
        <v/>
      </c>
    </row>
    <row r="496">
      <c r="B496" s="12">
        <f>COUNTIF('Extração'!J:J,A496)</f>
        <v>0</v>
      </c>
      <c r="C496" s="12" t="str">
        <f>IF(B496=0,"",COUNTIFS('Extração'!N:N,"Sim",'Extração'!J:J,A496)/B496)</f>
        <v/>
      </c>
      <c r="D496" s="12" t="str">
        <f>IF(B496=0,"",COUNTIFS('Extração'!O:O,"Sim",'Extração'!J:J,A496)/B496)</f>
        <v/>
      </c>
      <c r="E496" s="12" t="str">
        <f>IF(B496=0,"",COUNTIFS('Extração'!N:N,"Parcialmente",'Extração'!J:J,A496)/B496)</f>
        <v/>
      </c>
      <c r="F496" s="12" t="str">
        <f>IF(B496=0,"",COUNTIFS('Extração'!O:O,"Parcialmente",'Extração'!J:J,A496)/B496)</f>
        <v/>
      </c>
      <c r="G496" s="12" t="str">
        <f>IF(B496=0,"",COUNTIFS('Extração'!N:N,"Não",'Extração'!J:J,A496)/B496)</f>
        <v/>
      </c>
      <c r="H496" s="12" t="str">
        <f>IF(B496=0,"",COUNTIFS('Extração'!O:O,"Não",'Extração'!J:J,A496)/B496)</f>
        <v/>
      </c>
      <c r="I496" s="12" t="str">
        <f>IF(B496=0,"",COUNTIFS('Extração'!P:P,"Igual",'Extração'!J:J,A496)/B496)</f>
        <v/>
      </c>
    </row>
    <row r="497">
      <c r="B497" s="12">
        <f>COUNTIF('Extração'!J:J,A497)</f>
        <v>0</v>
      </c>
      <c r="C497" s="12" t="str">
        <f>IF(B497=0,"",COUNTIFS('Extração'!N:N,"Sim",'Extração'!J:J,A497)/B497)</f>
        <v/>
      </c>
      <c r="D497" s="12" t="str">
        <f>IF(B497=0,"",COUNTIFS('Extração'!O:O,"Sim",'Extração'!J:J,A497)/B497)</f>
        <v/>
      </c>
      <c r="E497" s="12" t="str">
        <f>IF(B497=0,"",COUNTIFS('Extração'!N:N,"Parcialmente",'Extração'!J:J,A497)/B497)</f>
        <v/>
      </c>
      <c r="F497" s="12" t="str">
        <f>IF(B497=0,"",COUNTIFS('Extração'!O:O,"Parcialmente",'Extração'!J:J,A497)/B497)</f>
        <v/>
      </c>
      <c r="G497" s="12" t="str">
        <f>IF(B497=0,"",COUNTIFS('Extração'!N:N,"Não",'Extração'!J:J,A497)/B497)</f>
        <v/>
      </c>
      <c r="H497" s="12" t="str">
        <f>IF(B497=0,"",COUNTIFS('Extração'!O:O,"Não",'Extração'!J:J,A497)/B497)</f>
        <v/>
      </c>
      <c r="I497" s="12" t="str">
        <f>IF(B497=0,"",COUNTIFS('Extração'!P:P,"Igual",'Extração'!J:J,A497)/B497)</f>
        <v/>
      </c>
    </row>
    <row r="498">
      <c r="B498" s="12">
        <f>COUNTIF('Extração'!J:J,A498)</f>
        <v>0</v>
      </c>
      <c r="C498" s="12" t="str">
        <f>IF(B498=0,"",COUNTIFS('Extração'!N:N,"Sim",'Extração'!J:J,A498)/B498)</f>
        <v/>
      </c>
      <c r="D498" s="12" t="str">
        <f>IF(B498=0,"",COUNTIFS('Extração'!O:O,"Sim",'Extração'!J:J,A498)/B498)</f>
        <v/>
      </c>
      <c r="E498" s="12" t="str">
        <f>IF(B498=0,"",COUNTIFS('Extração'!N:N,"Parcialmente",'Extração'!J:J,A498)/B498)</f>
        <v/>
      </c>
      <c r="F498" s="12" t="str">
        <f>IF(B498=0,"",COUNTIFS('Extração'!O:O,"Parcialmente",'Extração'!J:J,A498)/B498)</f>
        <v/>
      </c>
      <c r="G498" s="12" t="str">
        <f>IF(B498=0,"",COUNTIFS('Extração'!N:N,"Não",'Extração'!J:J,A498)/B498)</f>
        <v/>
      </c>
      <c r="H498" s="12" t="str">
        <f>IF(B498=0,"",COUNTIFS('Extração'!O:O,"Não",'Extração'!J:J,A498)/B498)</f>
        <v/>
      </c>
      <c r="I498" s="12" t="str">
        <f>IF(B498=0,"",COUNTIFS('Extração'!P:P,"Igual",'Extração'!J:J,A498)/B498)</f>
        <v/>
      </c>
    </row>
    <row r="499">
      <c r="B499" s="12">
        <f>COUNTIF('Extração'!J:J,A499)</f>
        <v>0</v>
      </c>
      <c r="C499" s="12" t="str">
        <f>IF(B499=0,"",COUNTIFS('Extração'!N:N,"Sim",'Extração'!J:J,A499)/B499)</f>
        <v/>
      </c>
      <c r="D499" s="12" t="str">
        <f>IF(B499=0,"",COUNTIFS('Extração'!O:O,"Sim",'Extração'!J:J,A499)/B499)</f>
        <v/>
      </c>
      <c r="E499" s="12" t="str">
        <f>IF(B499=0,"",COUNTIFS('Extração'!N:N,"Parcialmente",'Extração'!J:J,A499)/B499)</f>
        <v/>
      </c>
      <c r="F499" s="12" t="str">
        <f>IF(B499=0,"",COUNTIFS('Extração'!O:O,"Parcialmente",'Extração'!J:J,A499)/B499)</f>
        <v/>
      </c>
      <c r="G499" s="12" t="str">
        <f>IF(B499=0,"",COUNTIFS('Extração'!N:N,"Não",'Extração'!J:J,A499)/B499)</f>
        <v/>
      </c>
      <c r="H499" s="12" t="str">
        <f>IF(B499=0,"",COUNTIFS('Extração'!O:O,"Não",'Extração'!J:J,A499)/B499)</f>
        <v/>
      </c>
      <c r="I499" s="12" t="str">
        <f>IF(B499=0,"",COUNTIFS('Extração'!P:P,"Igual",'Extração'!J:J,A499)/B499)</f>
        <v/>
      </c>
    </row>
    <row r="500">
      <c r="B500" s="12">
        <f>COUNTIF('Extração'!J:J,A500)</f>
        <v>0</v>
      </c>
      <c r="C500" s="12" t="str">
        <f>IF(B500=0,"",COUNTIFS('Extração'!N:N,"Sim",'Extração'!J:J,A500)/B500)</f>
        <v/>
      </c>
      <c r="D500" s="12" t="str">
        <f>IF(B500=0,"",COUNTIFS('Extração'!O:O,"Sim",'Extração'!J:J,A500)/B500)</f>
        <v/>
      </c>
      <c r="E500" s="12" t="str">
        <f>IF(B500=0,"",COUNTIFS('Extração'!N:N,"Parcialmente",'Extração'!J:J,A500)/B500)</f>
        <v/>
      </c>
      <c r="F500" s="12" t="str">
        <f>IF(B500=0,"",COUNTIFS('Extração'!O:O,"Parcialmente",'Extração'!J:J,A500)/B500)</f>
        <v/>
      </c>
      <c r="G500" s="12" t="str">
        <f>IF(B500=0,"",COUNTIFS('Extração'!N:N,"Não",'Extração'!J:J,A500)/B500)</f>
        <v/>
      </c>
      <c r="H500" s="12" t="str">
        <f>IF(B500=0,"",COUNTIFS('Extração'!O:O,"Não",'Extração'!J:J,A500)/B500)</f>
        <v/>
      </c>
      <c r="I500" s="12" t="str">
        <f>IF(B500=0,"",COUNTIFS('Extração'!P:P,"Igual",'Extração'!J:J,A500)/B500)</f>
        <v/>
      </c>
    </row>
    <row r="501">
      <c r="B501" s="12">
        <f>COUNTIF('Extração'!J:J,A501)</f>
        <v>0</v>
      </c>
      <c r="C501" s="12" t="str">
        <f>IF(B501=0,"",COUNTIFS('Extração'!N:N,"Sim",'Extração'!J:J,A501)/B501)</f>
        <v/>
      </c>
      <c r="D501" s="12" t="str">
        <f>IF(B501=0,"",COUNTIFS('Extração'!O:O,"Sim",'Extração'!J:J,A501)/B501)</f>
        <v/>
      </c>
      <c r="E501" s="12" t="str">
        <f>IF(B501=0,"",COUNTIFS('Extração'!N:N,"Parcialmente",'Extração'!J:J,A501)/B501)</f>
        <v/>
      </c>
      <c r="F501" s="12" t="str">
        <f>IF(B501=0,"",COUNTIFS('Extração'!O:O,"Parcialmente",'Extração'!J:J,A501)/B501)</f>
        <v/>
      </c>
      <c r="G501" s="12" t="str">
        <f>IF(B501=0,"",COUNTIFS('Extração'!N:N,"Não",'Extração'!J:J,A501)/B501)</f>
        <v/>
      </c>
      <c r="H501" s="12" t="str">
        <f>IF(B501=0,"",COUNTIFS('Extração'!O:O,"Não",'Extração'!J:J,A501)/B501)</f>
        <v/>
      </c>
      <c r="I501" s="12" t="str">
        <f>IF(B501=0,"",COUNTIFS('Extração'!P:P,"Igual",'Extração'!J:J,A501)/B501)</f>
        <v/>
      </c>
    </row>
    <row r="502">
      <c r="B502" s="12">
        <f>COUNTIF('Extração'!J:J,A502)</f>
        <v>0</v>
      </c>
      <c r="C502" s="12" t="str">
        <f>IF(B502=0,"",COUNTIFS('Extração'!N:N,"Sim",'Extração'!J:J,A502)/B502)</f>
        <v/>
      </c>
      <c r="D502" s="12" t="str">
        <f>IF(B502=0,"",COUNTIFS('Extração'!O:O,"Sim",'Extração'!J:J,A502)/B502)</f>
        <v/>
      </c>
      <c r="E502" s="12" t="str">
        <f>IF(B502=0,"",COUNTIFS('Extração'!N:N,"Parcialmente",'Extração'!J:J,A502)/B502)</f>
        <v/>
      </c>
      <c r="F502" s="12" t="str">
        <f>IF(B502=0,"",COUNTIFS('Extração'!O:O,"Parcialmente",'Extração'!J:J,A502)/B502)</f>
        <v/>
      </c>
      <c r="G502" s="12" t="str">
        <f>IF(B502=0,"",COUNTIFS('Extração'!N:N,"Não",'Extração'!J:J,A502)/B502)</f>
        <v/>
      </c>
      <c r="H502" s="12" t="str">
        <f>IF(B502=0,"",COUNTIFS('Extração'!O:O,"Não",'Extração'!J:J,A502)/B502)</f>
        <v/>
      </c>
      <c r="I502" s="12" t="str">
        <f>IF(B502=0,"",COUNTIFS('Extração'!P:P,"Igual",'Extração'!J:J,A502)/B502)</f>
        <v/>
      </c>
    </row>
    <row r="503">
      <c r="B503" s="12">
        <f>COUNTIF('Extração'!J:J,A503)</f>
        <v>0</v>
      </c>
      <c r="C503" s="12" t="str">
        <f>IF(B503=0,"",COUNTIFS('Extração'!N:N,"Sim",'Extração'!J:J,A503)/B503)</f>
        <v/>
      </c>
      <c r="D503" s="12" t="str">
        <f>IF(B503=0,"",COUNTIFS('Extração'!O:O,"Sim",'Extração'!J:J,A503)/B503)</f>
        <v/>
      </c>
      <c r="E503" s="12" t="str">
        <f>IF(B503=0,"",COUNTIFS('Extração'!N:N,"Parcialmente",'Extração'!J:J,A503)/B503)</f>
        <v/>
      </c>
      <c r="F503" s="12" t="str">
        <f>IF(B503=0,"",COUNTIFS('Extração'!O:O,"Parcialmente",'Extração'!J:J,A503)/B503)</f>
        <v/>
      </c>
      <c r="G503" s="12" t="str">
        <f>IF(B503=0,"",COUNTIFS('Extração'!N:N,"Não",'Extração'!J:J,A503)/B503)</f>
        <v/>
      </c>
      <c r="H503" s="12" t="str">
        <f>IF(B503=0,"",COUNTIFS('Extração'!O:O,"Não",'Extração'!J:J,A503)/B503)</f>
        <v/>
      </c>
      <c r="I503" s="12" t="str">
        <f>IF(B503=0,"",COUNTIFS('Extração'!P:P,"Igual",'Extração'!J:J,A503)/B503)</f>
        <v/>
      </c>
    </row>
    <row r="504">
      <c r="B504" s="12">
        <f>COUNTIF('Extração'!J:J,A504)</f>
        <v>0</v>
      </c>
      <c r="C504" s="12" t="str">
        <f>IF(B504=0,"",COUNTIFS('Extração'!N:N,"Sim",'Extração'!J:J,A504)/B504)</f>
        <v/>
      </c>
      <c r="D504" s="12" t="str">
        <f>IF(B504=0,"",COUNTIFS('Extração'!O:O,"Sim",'Extração'!J:J,A504)/B504)</f>
        <v/>
      </c>
      <c r="E504" s="12" t="str">
        <f>IF(B504=0,"",COUNTIFS('Extração'!N:N,"Parcialmente",'Extração'!J:J,A504)/B504)</f>
        <v/>
      </c>
      <c r="F504" s="12" t="str">
        <f>IF(B504=0,"",COUNTIFS('Extração'!O:O,"Parcialmente",'Extração'!J:J,A504)/B504)</f>
        <v/>
      </c>
      <c r="G504" s="12" t="str">
        <f>IF(B504=0,"",COUNTIFS('Extração'!N:N,"Não",'Extração'!J:J,A504)/B504)</f>
        <v/>
      </c>
      <c r="H504" s="12" t="str">
        <f>IF(B504=0,"",COUNTIFS('Extração'!O:O,"Não",'Extração'!J:J,A504)/B504)</f>
        <v/>
      </c>
      <c r="I504" s="12" t="str">
        <f>IF(B504=0,"",COUNTIFS('Extração'!P:P,"Igual",'Extração'!J:J,A504)/B504)</f>
        <v/>
      </c>
    </row>
    <row r="505">
      <c r="B505" s="12">
        <f>COUNTIF('Extração'!J:J,A505)</f>
        <v>0</v>
      </c>
      <c r="C505" s="12" t="str">
        <f>IF(B505=0,"",COUNTIFS('Extração'!N:N,"Sim",'Extração'!J:J,A505)/B505)</f>
        <v/>
      </c>
      <c r="D505" s="12" t="str">
        <f>IF(B505=0,"",COUNTIFS('Extração'!O:O,"Sim",'Extração'!J:J,A505)/B505)</f>
        <v/>
      </c>
      <c r="E505" s="12" t="str">
        <f>IF(B505=0,"",COUNTIFS('Extração'!N:N,"Parcialmente",'Extração'!J:J,A505)/B505)</f>
        <v/>
      </c>
      <c r="F505" s="12" t="str">
        <f>IF(B505=0,"",COUNTIFS('Extração'!O:O,"Parcialmente",'Extração'!J:J,A505)/B505)</f>
        <v/>
      </c>
      <c r="G505" s="12" t="str">
        <f>IF(B505=0,"",COUNTIFS('Extração'!N:N,"Não",'Extração'!J:J,A505)/B505)</f>
        <v/>
      </c>
      <c r="H505" s="12" t="str">
        <f>IF(B505=0,"",COUNTIFS('Extração'!O:O,"Não",'Extração'!J:J,A505)/B505)</f>
        <v/>
      </c>
      <c r="I505" s="12" t="str">
        <f>IF(B505=0,"",COUNTIFS('Extração'!P:P,"Igual",'Extração'!J:J,A505)/B505)</f>
        <v/>
      </c>
    </row>
    <row r="506">
      <c r="B506" s="12">
        <f>COUNTIF('Extração'!J:J,A506)</f>
        <v>0</v>
      </c>
      <c r="C506" s="12" t="str">
        <f>IF(B506=0,"",COUNTIFS('Extração'!N:N,"Sim",'Extração'!J:J,A506)/B506)</f>
        <v/>
      </c>
      <c r="D506" s="12" t="str">
        <f>IF(B506=0,"",COUNTIFS('Extração'!O:O,"Sim",'Extração'!J:J,A506)/B506)</f>
        <v/>
      </c>
      <c r="E506" s="12" t="str">
        <f>IF(B506=0,"",COUNTIFS('Extração'!N:N,"Parcialmente",'Extração'!J:J,A506)/B506)</f>
        <v/>
      </c>
      <c r="F506" s="12" t="str">
        <f>IF(B506=0,"",COUNTIFS('Extração'!O:O,"Parcialmente",'Extração'!J:J,A506)/B506)</f>
        <v/>
      </c>
      <c r="G506" s="12" t="str">
        <f>IF(B506=0,"",COUNTIFS('Extração'!N:N,"Não",'Extração'!J:J,A506)/B506)</f>
        <v/>
      </c>
      <c r="H506" s="12" t="str">
        <f>IF(B506=0,"",COUNTIFS('Extração'!O:O,"Não",'Extração'!J:J,A506)/B506)</f>
        <v/>
      </c>
      <c r="I506" s="12" t="str">
        <f>IF(B506=0,"",COUNTIFS('Extração'!P:P,"Igual",'Extração'!J:J,A506)/B506)</f>
        <v/>
      </c>
    </row>
    <row r="507">
      <c r="B507" s="12">
        <f>COUNTIF('Extração'!J:J,A507)</f>
        <v>0</v>
      </c>
      <c r="C507" s="12" t="str">
        <f>IF(B507=0,"",COUNTIFS('Extração'!N:N,"Sim",'Extração'!J:J,A507)/B507)</f>
        <v/>
      </c>
      <c r="D507" s="12" t="str">
        <f>IF(B507=0,"",COUNTIFS('Extração'!O:O,"Sim",'Extração'!J:J,A507)/B507)</f>
        <v/>
      </c>
      <c r="E507" s="12" t="str">
        <f>IF(B507=0,"",COUNTIFS('Extração'!N:N,"Parcialmente",'Extração'!J:J,A507)/B507)</f>
        <v/>
      </c>
      <c r="F507" s="12" t="str">
        <f>IF(B507=0,"",COUNTIFS('Extração'!O:O,"Parcialmente",'Extração'!J:J,A507)/B507)</f>
        <v/>
      </c>
      <c r="G507" s="12" t="str">
        <f>IF(B507=0,"",COUNTIFS('Extração'!N:N,"Não",'Extração'!J:J,A507)/B507)</f>
        <v/>
      </c>
      <c r="H507" s="12" t="str">
        <f>IF(B507=0,"",COUNTIFS('Extração'!O:O,"Não",'Extração'!J:J,A507)/B507)</f>
        <v/>
      </c>
      <c r="I507" s="12" t="str">
        <f>IF(B507=0,"",COUNTIFS('Extração'!P:P,"Igual",'Extração'!J:J,A507)/B507)</f>
        <v/>
      </c>
    </row>
    <row r="508">
      <c r="B508" s="12">
        <f>COUNTIF('Extração'!J:J,A508)</f>
        <v>0</v>
      </c>
      <c r="C508" s="12" t="str">
        <f>IF(B508=0,"",COUNTIFS('Extração'!N:N,"Sim",'Extração'!J:J,A508)/B508)</f>
        <v/>
      </c>
      <c r="D508" s="12" t="str">
        <f>IF(B508=0,"",COUNTIFS('Extração'!O:O,"Sim",'Extração'!J:J,A508)/B508)</f>
        <v/>
      </c>
      <c r="E508" s="12" t="str">
        <f>IF(B508=0,"",COUNTIFS('Extração'!N:N,"Parcialmente",'Extração'!J:J,A508)/B508)</f>
        <v/>
      </c>
      <c r="F508" s="12" t="str">
        <f>IF(B508=0,"",COUNTIFS('Extração'!O:O,"Parcialmente",'Extração'!J:J,A508)/B508)</f>
        <v/>
      </c>
      <c r="G508" s="12" t="str">
        <f>IF(B508=0,"",COUNTIFS('Extração'!N:N,"Não",'Extração'!J:J,A508)/B508)</f>
        <v/>
      </c>
      <c r="H508" s="12" t="str">
        <f>IF(B508=0,"",COUNTIFS('Extração'!O:O,"Não",'Extração'!J:J,A508)/B508)</f>
        <v/>
      </c>
      <c r="I508" s="12" t="str">
        <f>IF(B508=0,"",COUNTIFS('Extração'!P:P,"Igual",'Extração'!J:J,A508)/B508)</f>
        <v/>
      </c>
    </row>
    <row r="509">
      <c r="B509" s="12">
        <f>COUNTIF('Extração'!J:J,A509)</f>
        <v>0</v>
      </c>
      <c r="C509" s="12" t="str">
        <f>IF(B509=0,"",COUNTIFS('Extração'!N:N,"Sim",'Extração'!J:J,A509)/B509)</f>
        <v/>
      </c>
      <c r="D509" s="12" t="str">
        <f>IF(B509=0,"",COUNTIFS('Extração'!O:O,"Sim",'Extração'!J:J,A509)/B509)</f>
        <v/>
      </c>
      <c r="E509" s="12" t="str">
        <f>IF(B509=0,"",COUNTIFS('Extração'!N:N,"Parcialmente",'Extração'!J:J,A509)/B509)</f>
        <v/>
      </c>
      <c r="F509" s="12" t="str">
        <f>IF(B509=0,"",COUNTIFS('Extração'!O:O,"Parcialmente",'Extração'!J:J,A509)/B509)</f>
        <v/>
      </c>
      <c r="G509" s="12" t="str">
        <f>IF(B509=0,"",COUNTIFS('Extração'!N:N,"Não",'Extração'!J:J,A509)/B509)</f>
        <v/>
      </c>
      <c r="H509" s="12" t="str">
        <f>IF(B509=0,"",COUNTIFS('Extração'!O:O,"Não",'Extração'!J:J,A509)/B509)</f>
        <v/>
      </c>
      <c r="I509" s="12" t="str">
        <f>IF(B509=0,"",COUNTIFS('Extração'!P:P,"Igual",'Extração'!J:J,A509)/B509)</f>
        <v/>
      </c>
    </row>
    <row r="510">
      <c r="B510" s="12">
        <f>COUNTIF('Extração'!J:J,A510)</f>
        <v>0</v>
      </c>
      <c r="C510" s="12" t="str">
        <f>IF(B510=0,"",COUNTIFS('Extração'!N:N,"Sim",'Extração'!J:J,A510)/B510)</f>
        <v/>
      </c>
      <c r="D510" s="12" t="str">
        <f>IF(B510=0,"",COUNTIFS('Extração'!O:O,"Sim",'Extração'!J:J,A510)/B510)</f>
        <v/>
      </c>
      <c r="E510" s="12" t="str">
        <f>IF(B510=0,"",COUNTIFS('Extração'!N:N,"Parcialmente",'Extração'!J:J,A510)/B510)</f>
        <v/>
      </c>
      <c r="F510" s="12" t="str">
        <f>IF(B510=0,"",COUNTIFS('Extração'!O:O,"Parcialmente",'Extração'!J:J,A510)/B510)</f>
        <v/>
      </c>
      <c r="G510" s="12" t="str">
        <f>IF(B510=0,"",COUNTIFS('Extração'!N:N,"Não",'Extração'!J:J,A510)/B510)</f>
        <v/>
      </c>
      <c r="H510" s="12" t="str">
        <f>IF(B510=0,"",COUNTIFS('Extração'!O:O,"Não",'Extração'!J:J,A510)/B510)</f>
        <v/>
      </c>
      <c r="I510" s="12" t="str">
        <f>IF(B510=0,"",COUNTIFS('Extração'!P:P,"Igual",'Extração'!J:J,A510)/B510)</f>
        <v/>
      </c>
    </row>
    <row r="511">
      <c r="B511" s="12">
        <f>COUNTIF('Extração'!J:J,A511)</f>
        <v>0</v>
      </c>
      <c r="C511" s="12" t="str">
        <f>IF(B511=0,"",COUNTIFS('Extração'!N:N,"Sim",'Extração'!J:J,A511)/B511)</f>
        <v/>
      </c>
      <c r="D511" s="12" t="str">
        <f>IF(B511=0,"",COUNTIFS('Extração'!O:O,"Sim",'Extração'!J:J,A511)/B511)</f>
        <v/>
      </c>
      <c r="E511" s="12" t="str">
        <f>IF(B511=0,"",COUNTIFS('Extração'!N:N,"Parcialmente",'Extração'!J:J,A511)/B511)</f>
        <v/>
      </c>
      <c r="F511" s="12" t="str">
        <f>IF(B511=0,"",COUNTIFS('Extração'!O:O,"Parcialmente",'Extração'!J:J,A511)/B511)</f>
        <v/>
      </c>
      <c r="G511" s="12" t="str">
        <f>IF(B511=0,"",COUNTIFS('Extração'!N:N,"Não",'Extração'!J:J,A511)/B511)</f>
        <v/>
      </c>
      <c r="H511" s="12" t="str">
        <f>IF(B511=0,"",COUNTIFS('Extração'!O:O,"Não",'Extração'!J:J,A511)/B511)</f>
        <v/>
      </c>
      <c r="I511" s="12" t="str">
        <f>IF(B511=0,"",COUNTIFS('Extração'!P:P,"Igual",'Extração'!J:J,A511)/B511)</f>
        <v/>
      </c>
    </row>
    <row r="512">
      <c r="B512" s="12">
        <f>COUNTIF('Extração'!J:J,A512)</f>
        <v>0</v>
      </c>
      <c r="C512" s="12" t="str">
        <f>IF(B512=0,"",COUNTIFS('Extração'!N:N,"Sim",'Extração'!J:J,A512)/B512)</f>
        <v/>
      </c>
      <c r="D512" s="12" t="str">
        <f>IF(B512=0,"",COUNTIFS('Extração'!O:O,"Sim",'Extração'!J:J,A512)/B512)</f>
        <v/>
      </c>
      <c r="E512" s="12" t="str">
        <f>IF(B512=0,"",COUNTIFS('Extração'!N:N,"Parcialmente",'Extração'!J:J,A512)/B512)</f>
        <v/>
      </c>
      <c r="F512" s="12" t="str">
        <f>IF(B512=0,"",COUNTIFS('Extração'!O:O,"Parcialmente",'Extração'!J:J,A512)/B512)</f>
        <v/>
      </c>
      <c r="G512" s="12" t="str">
        <f>IF(B512=0,"",COUNTIFS('Extração'!N:N,"Não",'Extração'!J:J,A512)/B512)</f>
        <v/>
      </c>
      <c r="H512" s="12" t="str">
        <f>IF(B512=0,"",COUNTIFS('Extração'!O:O,"Não",'Extração'!J:J,A512)/B512)</f>
        <v/>
      </c>
      <c r="I512" s="12" t="str">
        <f>IF(B512=0,"",COUNTIFS('Extração'!P:P,"Igual",'Extração'!J:J,A512)/B512)</f>
        <v/>
      </c>
    </row>
    <row r="513">
      <c r="B513" s="12">
        <f>COUNTIF('Extração'!J:J,A513)</f>
        <v>0</v>
      </c>
      <c r="C513" s="12" t="str">
        <f>IF(B513=0,"",COUNTIFS('Extração'!N:N,"Sim",'Extração'!J:J,A513)/B513)</f>
        <v/>
      </c>
      <c r="D513" s="12" t="str">
        <f>IF(B513=0,"",COUNTIFS('Extração'!O:O,"Sim",'Extração'!J:J,A513)/B513)</f>
        <v/>
      </c>
      <c r="E513" s="12" t="str">
        <f>IF(B513=0,"",COUNTIFS('Extração'!N:N,"Parcialmente",'Extração'!J:J,A513)/B513)</f>
        <v/>
      </c>
      <c r="F513" s="12" t="str">
        <f>IF(B513=0,"",COUNTIFS('Extração'!O:O,"Parcialmente",'Extração'!J:J,A513)/B513)</f>
        <v/>
      </c>
      <c r="G513" s="12" t="str">
        <f>IF(B513=0,"",COUNTIFS('Extração'!N:N,"Não",'Extração'!J:J,A513)/B513)</f>
        <v/>
      </c>
      <c r="H513" s="12" t="str">
        <f>IF(B513=0,"",COUNTIFS('Extração'!O:O,"Não",'Extração'!J:J,A513)/B513)</f>
        <v/>
      </c>
      <c r="I513" s="12" t="str">
        <f>IF(B513=0,"",COUNTIFS('Extração'!P:P,"Igual",'Extração'!J:J,A513)/B513)</f>
        <v/>
      </c>
    </row>
    <row r="514">
      <c r="B514" s="12">
        <f>COUNTIF('Extração'!J:J,A514)</f>
        <v>0</v>
      </c>
      <c r="C514" s="12" t="str">
        <f>IF(B514=0,"",COUNTIFS('Extração'!N:N,"Sim",'Extração'!J:J,A514)/B514)</f>
        <v/>
      </c>
      <c r="D514" s="12" t="str">
        <f>IF(B514=0,"",COUNTIFS('Extração'!O:O,"Sim",'Extração'!J:J,A514)/B514)</f>
        <v/>
      </c>
      <c r="E514" s="12" t="str">
        <f>IF(B514=0,"",COUNTIFS('Extração'!N:N,"Parcialmente",'Extração'!J:J,A514)/B514)</f>
        <v/>
      </c>
      <c r="F514" s="12" t="str">
        <f>IF(B514=0,"",COUNTIFS('Extração'!O:O,"Parcialmente",'Extração'!J:J,A514)/B514)</f>
        <v/>
      </c>
      <c r="G514" s="12" t="str">
        <f>IF(B514=0,"",COUNTIFS('Extração'!N:N,"Não",'Extração'!J:J,A514)/B514)</f>
        <v/>
      </c>
      <c r="H514" s="12" t="str">
        <f>IF(B514=0,"",COUNTIFS('Extração'!O:O,"Não",'Extração'!J:J,A514)/B514)</f>
        <v/>
      </c>
      <c r="I514" s="12" t="str">
        <f>IF(B514=0,"",COUNTIFS('Extração'!P:P,"Igual",'Extração'!J:J,A514)/B514)</f>
        <v/>
      </c>
    </row>
    <row r="515">
      <c r="B515" s="12">
        <f>COUNTIF('Extração'!J:J,A515)</f>
        <v>0</v>
      </c>
      <c r="C515" s="12" t="str">
        <f>IF(B515=0,"",COUNTIFS('Extração'!N:N,"Sim",'Extração'!J:J,A515)/B515)</f>
        <v/>
      </c>
      <c r="D515" s="12" t="str">
        <f>IF(B515=0,"",COUNTIFS('Extração'!O:O,"Sim",'Extração'!J:J,A515)/B515)</f>
        <v/>
      </c>
      <c r="E515" s="12" t="str">
        <f>IF(B515=0,"",COUNTIFS('Extração'!N:N,"Parcialmente",'Extração'!J:J,A515)/B515)</f>
        <v/>
      </c>
      <c r="F515" s="12" t="str">
        <f>IF(B515=0,"",COUNTIFS('Extração'!O:O,"Parcialmente",'Extração'!J:J,A515)/B515)</f>
        <v/>
      </c>
      <c r="G515" s="12" t="str">
        <f>IF(B515=0,"",COUNTIFS('Extração'!N:N,"Não",'Extração'!J:J,A515)/B515)</f>
        <v/>
      </c>
      <c r="H515" s="12" t="str">
        <f>IF(B515=0,"",COUNTIFS('Extração'!O:O,"Não",'Extração'!J:J,A515)/B515)</f>
        <v/>
      </c>
      <c r="I515" s="12" t="str">
        <f>IF(B515=0,"",COUNTIFS('Extração'!P:P,"Igual",'Extração'!J:J,A515)/B515)</f>
        <v/>
      </c>
    </row>
    <row r="516">
      <c r="B516" s="12">
        <f>COUNTIF('Extração'!J:J,A516)</f>
        <v>0</v>
      </c>
      <c r="C516" s="12" t="str">
        <f>IF(B516=0,"",COUNTIFS('Extração'!N:N,"Sim",'Extração'!J:J,A516)/B516)</f>
        <v/>
      </c>
      <c r="D516" s="12" t="str">
        <f>IF(B516=0,"",COUNTIFS('Extração'!O:O,"Sim",'Extração'!J:J,A516)/B516)</f>
        <v/>
      </c>
      <c r="E516" s="12" t="str">
        <f>IF(B516=0,"",COUNTIFS('Extração'!N:N,"Parcialmente",'Extração'!J:J,A516)/B516)</f>
        <v/>
      </c>
      <c r="F516" s="12" t="str">
        <f>IF(B516=0,"",COUNTIFS('Extração'!O:O,"Parcialmente",'Extração'!J:J,A516)/B516)</f>
        <v/>
      </c>
      <c r="G516" s="12" t="str">
        <f>IF(B516=0,"",COUNTIFS('Extração'!N:N,"Não",'Extração'!J:J,A516)/B516)</f>
        <v/>
      </c>
      <c r="H516" s="12" t="str">
        <f>IF(B516=0,"",COUNTIFS('Extração'!O:O,"Não",'Extração'!J:J,A516)/B516)</f>
        <v/>
      </c>
      <c r="I516" s="12" t="str">
        <f>IF(B516=0,"",COUNTIFS('Extração'!P:P,"Igual",'Extração'!J:J,A516)/B516)</f>
        <v/>
      </c>
    </row>
    <row r="517">
      <c r="B517" s="12">
        <f>COUNTIF('Extração'!J:J,A517)</f>
        <v>0</v>
      </c>
      <c r="C517" s="12" t="str">
        <f>IF(B517=0,"",COUNTIFS('Extração'!N:N,"Sim",'Extração'!J:J,A517)/B517)</f>
        <v/>
      </c>
      <c r="D517" s="12" t="str">
        <f>IF(B517=0,"",COUNTIFS('Extração'!O:O,"Sim",'Extração'!J:J,A517)/B517)</f>
        <v/>
      </c>
      <c r="E517" s="12" t="str">
        <f>IF(B517=0,"",COUNTIFS('Extração'!N:N,"Parcialmente",'Extração'!J:J,A517)/B517)</f>
        <v/>
      </c>
      <c r="F517" s="12" t="str">
        <f>IF(B517=0,"",COUNTIFS('Extração'!O:O,"Parcialmente",'Extração'!J:J,A517)/B517)</f>
        <v/>
      </c>
      <c r="G517" s="12" t="str">
        <f>IF(B517=0,"",COUNTIFS('Extração'!N:N,"Não",'Extração'!J:J,A517)/B517)</f>
        <v/>
      </c>
      <c r="H517" s="12" t="str">
        <f>IF(B517=0,"",COUNTIFS('Extração'!O:O,"Não",'Extração'!J:J,A517)/B517)</f>
        <v/>
      </c>
      <c r="I517" s="12" t="str">
        <f>IF(B517=0,"",COUNTIFS('Extração'!P:P,"Igual",'Extração'!J:J,A517)/B517)</f>
        <v/>
      </c>
    </row>
    <row r="518">
      <c r="B518" s="12">
        <f>COUNTIF('Extração'!J:J,A518)</f>
        <v>0</v>
      </c>
      <c r="C518" s="12" t="str">
        <f>IF(B518=0,"",COUNTIFS('Extração'!N:N,"Sim",'Extração'!J:J,A518)/B518)</f>
        <v/>
      </c>
      <c r="D518" s="12" t="str">
        <f>IF(B518=0,"",COUNTIFS('Extração'!O:O,"Sim",'Extração'!J:J,A518)/B518)</f>
        <v/>
      </c>
      <c r="E518" s="12" t="str">
        <f>IF(B518=0,"",COUNTIFS('Extração'!N:N,"Parcialmente",'Extração'!J:J,A518)/B518)</f>
        <v/>
      </c>
      <c r="F518" s="12" t="str">
        <f>IF(B518=0,"",COUNTIFS('Extração'!O:O,"Parcialmente",'Extração'!J:J,A518)/B518)</f>
        <v/>
      </c>
      <c r="G518" s="12" t="str">
        <f>IF(B518=0,"",COUNTIFS('Extração'!N:N,"Não",'Extração'!J:J,A518)/B518)</f>
        <v/>
      </c>
      <c r="H518" s="12" t="str">
        <f>IF(B518=0,"",COUNTIFS('Extração'!O:O,"Não",'Extração'!J:J,A518)/B518)</f>
        <v/>
      </c>
      <c r="I518" s="12" t="str">
        <f>IF(B518=0,"",COUNTIFS('Extração'!P:P,"Igual",'Extração'!J:J,A518)/B518)</f>
        <v/>
      </c>
    </row>
    <row r="519">
      <c r="B519" s="12">
        <f>COUNTIF('Extração'!J:J,A519)</f>
        <v>0</v>
      </c>
      <c r="C519" s="12" t="str">
        <f>IF(B519=0,"",COUNTIFS('Extração'!N:N,"Sim",'Extração'!J:J,A519)/B519)</f>
        <v/>
      </c>
      <c r="D519" s="12" t="str">
        <f>IF(B519=0,"",COUNTIFS('Extração'!O:O,"Sim",'Extração'!J:J,A519)/B519)</f>
        <v/>
      </c>
      <c r="E519" s="12" t="str">
        <f>IF(B519=0,"",COUNTIFS('Extração'!N:N,"Parcialmente",'Extração'!J:J,A519)/B519)</f>
        <v/>
      </c>
      <c r="F519" s="12" t="str">
        <f>IF(B519=0,"",COUNTIFS('Extração'!O:O,"Parcialmente",'Extração'!J:J,A519)/B519)</f>
        <v/>
      </c>
      <c r="G519" s="12" t="str">
        <f>IF(B519=0,"",COUNTIFS('Extração'!N:N,"Não",'Extração'!J:J,A519)/B519)</f>
        <v/>
      </c>
      <c r="H519" s="12" t="str">
        <f>IF(B519=0,"",COUNTIFS('Extração'!O:O,"Não",'Extração'!J:J,A519)/B519)</f>
        <v/>
      </c>
      <c r="I519" s="12" t="str">
        <f>IF(B519=0,"",COUNTIFS('Extração'!P:P,"Igual",'Extração'!J:J,A519)/B519)</f>
        <v/>
      </c>
    </row>
    <row r="520">
      <c r="B520" s="12">
        <f>COUNTIF('Extração'!J:J,A520)</f>
        <v>0</v>
      </c>
      <c r="C520" s="12" t="str">
        <f>IF(B520=0,"",COUNTIFS('Extração'!N:N,"Sim",'Extração'!J:J,A520)/B520)</f>
        <v/>
      </c>
      <c r="D520" s="12" t="str">
        <f>IF(B520=0,"",COUNTIFS('Extração'!O:O,"Sim",'Extração'!J:J,A520)/B520)</f>
        <v/>
      </c>
      <c r="E520" s="12" t="str">
        <f>IF(B520=0,"",COUNTIFS('Extração'!N:N,"Parcialmente",'Extração'!J:J,A520)/B520)</f>
        <v/>
      </c>
      <c r="F520" s="12" t="str">
        <f>IF(B520=0,"",COUNTIFS('Extração'!O:O,"Parcialmente",'Extração'!J:J,A520)/B520)</f>
        <v/>
      </c>
      <c r="G520" s="12" t="str">
        <f>IF(B520=0,"",COUNTIFS('Extração'!N:N,"Não",'Extração'!J:J,A520)/B520)</f>
        <v/>
      </c>
      <c r="H520" s="12" t="str">
        <f>IF(B520=0,"",COUNTIFS('Extração'!O:O,"Não",'Extração'!J:J,A520)/B520)</f>
        <v/>
      </c>
      <c r="I520" s="12" t="str">
        <f>IF(B520=0,"",COUNTIFS('Extração'!P:P,"Igual",'Extração'!J:J,A520)/B520)</f>
        <v/>
      </c>
    </row>
    <row r="521">
      <c r="B521" s="12">
        <f>COUNTIF('Extração'!J:J,A521)</f>
        <v>0</v>
      </c>
      <c r="C521" s="12" t="str">
        <f>IF(B521=0,"",COUNTIFS('Extração'!N:N,"Sim",'Extração'!J:J,A521)/B521)</f>
        <v/>
      </c>
      <c r="D521" s="12" t="str">
        <f>IF(B521=0,"",COUNTIFS('Extração'!O:O,"Sim",'Extração'!J:J,A521)/B521)</f>
        <v/>
      </c>
      <c r="E521" s="12" t="str">
        <f>IF(B521=0,"",COUNTIFS('Extração'!N:N,"Parcialmente",'Extração'!J:J,A521)/B521)</f>
        <v/>
      </c>
      <c r="F521" s="12" t="str">
        <f>IF(B521=0,"",COUNTIFS('Extração'!O:O,"Parcialmente",'Extração'!J:J,A521)/B521)</f>
        <v/>
      </c>
      <c r="G521" s="12" t="str">
        <f>IF(B521=0,"",COUNTIFS('Extração'!N:N,"Não",'Extração'!J:J,A521)/B521)</f>
        <v/>
      </c>
      <c r="H521" s="12" t="str">
        <f>IF(B521=0,"",COUNTIFS('Extração'!O:O,"Não",'Extração'!J:J,A521)/B521)</f>
        <v/>
      </c>
      <c r="I521" s="12" t="str">
        <f>IF(B521=0,"",COUNTIFS('Extração'!P:P,"Igual",'Extração'!J:J,A521)/B521)</f>
        <v/>
      </c>
    </row>
    <row r="522">
      <c r="B522" s="12">
        <f>COUNTIF('Extração'!J:J,A522)</f>
        <v>0</v>
      </c>
      <c r="C522" s="12" t="str">
        <f>IF(B522=0,"",COUNTIFS('Extração'!N:N,"Sim",'Extração'!J:J,A522)/B522)</f>
        <v/>
      </c>
      <c r="D522" s="12" t="str">
        <f>IF(B522=0,"",COUNTIFS('Extração'!O:O,"Sim",'Extração'!J:J,A522)/B522)</f>
        <v/>
      </c>
      <c r="E522" s="12" t="str">
        <f>IF(B522=0,"",COUNTIFS('Extração'!N:N,"Parcialmente",'Extração'!J:J,A522)/B522)</f>
        <v/>
      </c>
      <c r="F522" s="12" t="str">
        <f>IF(B522=0,"",COUNTIFS('Extração'!O:O,"Parcialmente",'Extração'!J:J,A522)/B522)</f>
        <v/>
      </c>
      <c r="G522" s="12" t="str">
        <f>IF(B522=0,"",COUNTIFS('Extração'!N:N,"Não",'Extração'!J:J,A522)/B522)</f>
        <v/>
      </c>
      <c r="H522" s="12" t="str">
        <f>IF(B522=0,"",COUNTIFS('Extração'!O:O,"Não",'Extração'!J:J,A522)/B522)</f>
        <v/>
      </c>
      <c r="I522" s="12" t="str">
        <f>IF(B522=0,"",COUNTIFS('Extração'!P:P,"Igual",'Extração'!J:J,A522)/B522)</f>
        <v/>
      </c>
    </row>
    <row r="523">
      <c r="B523" s="12">
        <f>COUNTIF('Extração'!J:J,A523)</f>
        <v>0</v>
      </c>
      <c r="C523" s="12" t="str">
        <f>IF(B523=0,"",COUNTIFS('Extração'!N:N,"Sim",'Extração'!J:J,A523)/B523)</f>
        <v/>
      </c>
      <c r="D523" s="12" t="str">
        <f>IF(B523=0,"",COUNTIFS('Extração'!O:O,"Sim",'Extração'!J:J,A523)/B523)</f>
        <v/>
      </c>
      <c r="E523" s="12" t="str">
        <f>IF(B523=0,"",COUNTIFS('Extração'!N:N,"Parcialmente",'Extração'!J:J,A523)/B523)</f>
        <v/>
      </c>
      <c r="F523" s="12" t="str">
        <f>IF(B523=0,"",COUNTIFS('Extração'!O:O,"Parcialmente",'Extração'!J:J,A523)/B523)</f>
        <v/>
      </c>
      <c r="G523" s="12" t="str">
        <f>IF(B523=0,"",COUNTIFS('Extração'!N:N,"Não",'Extração'!J:J,A523)/B523)</f>
        <v/>
      </c>
      <c r="H523" s="12" t="str">
        <f>IF(B523=0,"",COUNTIFS('Extração'!O:O,"Não",'Extração'!J:J,A523)/B523)</f>
        <v/>
      </c>
      <c r="I523" s="12" t="str">
        <f>IF(B523=0,"",COUNTIFS('Extração'!P:P,"Igual",'Extração'!J:J,A523)/B523)</f>
        <v/>
      </c>
    </row>
    <row r="524">
      <c r="B524" s="12">
        <f>COUNTIF('Extração'!J:J,A524)</f>
        <v>0</v>
      </c>
      <c r="C524" s="12" t="str">
        <f>IF(B524=0,"",COUNTIFS('Extração'!N:N,"Sim",'Extração'!J:J,A524)/B524)</f>
        <v/>
      </c>
      <c r="D524" s="12" t="str">
        <f>IF(B524=0,"",COUNTIFS('Extração'!O:O,"Sim",'Extração'!J:J,A524)/B524)</f>
        <v/>
      </c>
      <c r="E524" s="12" t="str">
        <f>IF(B524=0,"",COUNTIFS('Extração'!N:N,"Parcialmente",'Extração'!J:J,A524)/B524)</f>
        <v/>
      </c>
      <c r="F524" s="12" t="str">
        <f>IF(B524=0,"",COUNTIFS('Extração'!O:O,"Parcialmente",'Extração'!J:J,A524)/B524)</f>
        <v/>
      </c>
      <c r="G524" s="12" t="str">
        <f>IF(B524=0,"",COUNTIFS('Extração'!N:N,"Não",'Extração'!J:J,A524)/B524)</f>
        <v/>
      </c>
      <c r="H524" s="12" t="str">
        <f>IF(B524=0,"",COUNTIFS('Extração'!O:O,"Não",'Extração'!J:J,A524)/B524)</f>
        <v/>
      </c>
      <c r="I524" s="12" t="str">
        <f>IF(B524=0,"",COUNTIFS('Extração'!P:P,"Igual",'Extração'!J:J,A524)/B524)</f>
        <v/>
      </c>
    </row>
    <row r="525">
      <c r="B525" s="12">
        <f>COUNTIF('Extração'!J:J,A525)</f>
        <v>0</v>
      </c>
      <c r="C525" s="12" t="str">
        <f>IF(B525=0,"",COUNTIFS('Extração'!N:N,"Sim",'Extração'!J:J,A525)/B525)</f>
        <v/>
      </c>
      <c r="D525" s="12" t="str">
        <f>IF(B525=0,"",COUNTIFS('Extração'!O:O,"Sim",'Extração'!J:J,A525)/B525)</f>
        <v/>
      </c>
      <c r="E525" s="12" t="str">
        <f>IF(B525=0,"",COUNTIFS('Extração'!N:N,"Parcialmente",'Extração'!J:J,A525)/B525)</f>
        <v/>
      </c>
      <c r="F525" s="12" t="str">
        <f>IF(B525=0,"",COUNTIFS('Extração'!O:O,"Parcialmente",'Extração'!J:J,A525)/B525)</f>
        <v/>
      </c>
      <c r="G525" s="12" t="str">
        <f>IF(B525=0,"",COUNTIFS('Extração'!N:N,"Não",'Extração'!J:J,A525)/B525)</f>
        <v/>
      </c>
      <c r="H525" s="12" t="str">
        <f>IF(B525=0,"",COUNTIFS('Extração'!O:O,"Não",'Extração'!J:J,A525)/B525)</f>
        <v/>
      </c>
      <c r="I525" s="12" t="str">
        <f>IF(B525=0,"",COUNTIFS('Extração'!P:P,"Igual",'Extração'!J:J,A525)/B525)</f>
        <v/>
      </c>
    </row>
    <row r="526">
      <c r="B526" s="12">
        <f>COUNTIF('Extração'!J:J,A526)</f>
        <v>0</v>
      </c>
      <c r="C526" s="12" t="str">
        <f>IF(B526=0,"",COUNTIFS('Extração'!N:N,"Sim",'Extração'!J:J,A526)/B526)</f>
        <v/>
      </c>
      <c r="D526" s="12" t="str">
        <f>IF(B526=0,"",COUNTIFS('Extração'!O:O,"Sim",'Extração'!J:J,A526)/B526)</f>
        <v/>
      </c>
      <c r="E526" s="12" t="str">
        <f>IF(B526=0,"",COUNTIFS('Extração'!N:N,"Parcialmente",'Extração'!J:J,A526)/B526)</f>
        <v/>
      </c>
      <c r="F526" s="12" t="str">
        <f>IF(B526=0,"",COUNTIFS('Extração'!O:O,"Parcialmente",'Extração'!J:J,A526)/B526)</f>
        <v/>
      </c>
      <c r="G526" s="12" t="str">
        <f>IF(B526=0,"",COUNTIFS('Extração'!N:N,"Não",'Extração'!J:J,A526)/B526)</f>
        <v/>
      </c>
      <c r="H526" s="12" t="str">
        <f>IF(B526=0,"",COUNTIFS('Extração'!O:O,"Não",'Extração'!J:J,A526)/B526)</f>
        <v/>
      </c>
      <c r="I526" s="12" t="str">
        <f>IF(B526=0,"",COUNTIFS('Extração'!P:P,"Igual",'Extração'!J:J,A526)/B526)</f>
        <v/>
      </c>
    </row>
    <row r="527">
      <c r="B527" s="12">
        <f>COUNTIF('Extração'!J:J,A527)</f>
        <v>0</v>
      </c>
      <c r="C527" s="12" t="str">
        <f>IF(B527=0,"",COUNTIFS('Extração'!N:N,"Sim",'Extração'!J:J,A527)/B527)</f>
        <v/>
      </c>
      <c r="D527" s="12" t="str">
        <f>IF(B527=0,"",COUNTIFS('Extração'!O:O,"Sim",'Extração'!J:J,A527)/B527)</f>
        <v/>
      </c>
      <c r="E527" s="12" t="str">
        <f>IF(B527=0,"",COUNTIFS('Extração'!N:N,"Parcialmente",'Extração'!J:J,A527)/B527)</f>
        <v/>
      </c>
      <c r="F527" s="12" t="str">
        <f>IF(B527=0,"",COUNTIFS('Extração'!O:O,"Parcialmente",'Extração'!J:J,A527)/B527)</f>
        <v/>
      </c>
      <c r="G527" s="12" t="str">
        <f>IF(B527=0,"",COUNTIFS('Extração'!N:N,"Não",'Extração'!J:J,A527)/B527)</f>
        <v/>
      </c>
      <c r="H527" s="12" t="str">
        <f>IF(B527=0,"",COUNTIFS('Extração'!O:O,"Não",'Extração'!J:J,A527)/B527)</f>
        <v/>
      </c>
      <c r="I527" s="12" t="str">
        <f>IF(B527=0,"",COUNTIFS('Extração'!P:P,"Igual",'Extração'!J:J,A527)/B527)</f>
        <v/>
      </c>
    </row>
    <row r="528">
      <c r="B528" s="12">
        <f>COUNTIF('Extração'!J:J,A528)</f>
        <v>0</v>
      </c>
      <c r="C528" s="12" t="str">
        <f>IF(B528=0,"",COUNTIFS('Extração'!N:N,"Sim",'Extração'!J:J,A528)/B528)</f>
        <v/>
      </c>
      <c r="D528" s="12" t="str">
        <f>IF(B528=0,"",COUNTIFS('Extração'!O:O,"Sim",'Extração'!J:J,A528)/B528)</f>
        <v/>
      </c>
      <c r="E528" s="12" t="str">
        <f>IF(B528=0,"",COUNTIFS('Extração'!N:N,"Parcialmente",'Extração'!J:J,A528)/B528)</f>
        <v/>
      </c>
      <c r="F528" s="12" t="str">
        <f>IF(B528=0,"",COUNTIFS('Extração'!O:O,"Parcialmente",'Extração'!J:J,A528)/B528)</f>
        <v/>
      </c>
      <c r="G528" s="12" t="str">
        <f>IF(B528=0,"",COUNTIFS('Extração'!N:N,"Não",'Extração'!J:J,A528)/B528)</f>
        <v/>
      </c>
      <c r="H528" s="12" t="str">
        <f>IF(B528=0,"",COUNTIFS('Extração'!O:O,"Não",'Extração'!J:J,A528)/B528)</f>
        <v/>
      </c>
      <c r="I528" s="12" t="str">
        <f>IF(B528=0,"",COUNTIFS('Extração'!P:P,"Igual",'Extração'!J:J,A528)/B528)</f>
        <v/>
      </c>
    </row>
    <row r="529">
      <c r="B529" s="12">
        <f>COUNTIF('Extração'!J:J,A529)</f>
        <v>0</v>
      </c>
      <c r="C529" s="12" t="str">
        <f>IF(B529=0,"",COUNTIFS('Extração'!N:N,"Sim",'Extração'!J:J,A529)/B529)</f>
        <v/>
      </c>
      <c r="D529" s="12" t="str">
        <f>IF(B529=0,"",COUNTIFS('Extração'!O:O,"Sim",'Extração'!J:J,A529)/B529)</f>
        <v/>
      </c>
      <c r="E529" s="12" t="str">
        <f>IF(B529=0,"",COUNTIFS('Extração'!N:N,"Parcialmente",'Extração'!J:J,A529)/B529)</f>
        <v/>
      </c>
      <c r="F529" s="12" t="str">
        <f>IF(B529=0,"",COUNTIFS('Extração'!O:O,"Parcialmente",'Extração'!J:J,A529)/B529)</f>
        <v/>
      </c>
      <c r="G529" s="12" t="str">
        <f>IF(B529=0,"",COUNTIFS('Extração'!N:N,"Não",'Extração'!J:J,A529)/B529)</f>
        <v/>
      </c>
      <c r="H529" s="12" t="str">
        <f>IF(B529=0,"",COUNTIFS('Extração'!O:O,"Não",'Extração'!J:J,A529)/B529)</f>
        <v/>
      </c>
      <c r="I529" s="12" t="str">
        <f>IF(B529=0,"",COUNTIFS('Extração'!P:P,"Igual",'Extração'!J:J,A529)/B529)</f>
        <v/>
      </c>
    </row>
    <row r="530">
      <c r="B530" s="12">
        <f>COUNTIF('Extração'!J:J,A530)</f>
        <v>0</v>
      </c>
      <c r="C530" s="12" t="str">
        <f>IF(B530=0,"",COUNTIFS('Extração'!N:N,"Sim",'Extração'!J:J,A530)/B530)</f>
        <v/>
      </c>
      <c r="D530" s="12" t="str">
        <f>IF(B530=0,"",COUNTIFS('Extração'!O:O,"Sim",'Extração'!J:J,A530)/B530)</f>
        <v/>
      </c>
      <c r="E530" s="12" t="str">
        <f>IF(B530=0,"",COUNTIFS('Extração'!N:N,"Parcialmente",'Extração'!J:J,A530)/B530)</f>
        <v/>
      </c>
      <c r="F530" s="12" t="str">
        <f>IF(B530=0,"",COUNTIFS('Extração'!O:O,"Parcialmente",'Extração'!J:J,A530)/B530)</f>
        <v/>
      </c>
      <c r="G530" s="12" t="str">
        <f>IF(B530=0,"",COUNTIFS('Extração'!N:N,"Não",'Extração'!J:J,A530)/B530)</f>
        <v/>
      </c>
      <c r="H530" s="12" t="str">
        <f>IF(B530=0,"",COUNTIFS('Extração'!O:O,"Não",'Extração'!J:J,A530)/B530)</f>
        <v/>
      </c>
      <c r="I530" s="12" t="str">
        <f>IF(B530=0,"",COUNTIFS('Extração'!P:P,"Igual",'Extração'!J:J,A530)/B530)</f>
        <v/>
      </c>
    </row>
    <row r="531">
      <c r="B531" s="12">
        <f>COUNTIF('Extração'!J:J,A531)</f>
        <v>0</v>
      </c>
      <c r="C531" s="12" t="str">
        <f>IF(B531=0,"",COUNTIFS('Extração'!N:N,"Sim",'Extração'!J:J,A531)/B531)</f>
        <v/>
      </c>
      <c r="D531" s="12" t="str">
        <f>IF(B531=0,"",COUNTIFS('Extração'!O:O,"Sim",'Extração'!J:J,A531)/B531)</f>
        <v/>
      </c>
      <c r="E531" s="12" t="str">
        <f>IF(B531=0,"",COUNTIFS('Extração'!N:N,"Parcialmente",'Extração'!J:J,A531)/B531)</f>
        <v/>
      </c>
      <c r="F531" s="12" t="str">
        <f>IF(B531=0,"",COUNTIFS('Extração'!O:O,"Parcialmente",'Extração'!J:J,A531)/B531)</f>
        <v/>
      </c>
      <c r="G531" s="12" t="str">
        <f>IF(B531=0,"",COUNTIFS('Extração'!N:N,"Não",'Extração'!J:J,A531)/B531)</f>
        <v/>
      </c>
      <c r="H531" s="12" t="str">
        <f>IF(B531=0,"",COUNTIFS('Extração'!O:O,"Não",'Extração'!J:J,A531)/B531)</f>
        <v/>
      </c>
      <c r="I531" s="12" t="str">
        <f>IF(B531=0,"",COUNTIFS('Extração'!P:P,"Igual",'Extração'!J:J,A531)/B531)</f>
        <v/>
      </c>
    </row>
    <row r="532">
      <c r="B532" s="12">
        <f>COUNTIF('Extração'!J:J,A532)</f>
        <v>0</v>
      </c>
      <c r="C532" s="12" t="str">
        <f>IF(B532=0,"",COUNTIFS('Extração'!N:N,"Sim",'Extração'!J:J,A532)/B532)</f>
        <v/>
      </c>
      <c r="D532" s="12" t="str">
        <f>IF(B532=0,"",COUNTIFS('Extração'!O:O,"Sim",'Extração'!J:J,A532)/B532)</f>
        <v/>
      </c>
      <c r="E532" s="12" t="str">
        <f>IF(B532=0,"",COUNTIFS('Extração'!N:N,"Parcialmente",'Extração'!J:J,A532)/B532)</f>
        <v/>
      </c>
      <c r="F532" s="12" t="str">
        <f>IF(B532=0,"",COUNTIFS('Extração'!O:O,"Parcialmente",'Extração'!J:J,A532)/B532)</f>
        <v/>
      </c>
      <c r="G532" s="12" t="str">
        <f>IF(B532=0,"",COUNTIFS('Extração'!N:N,"Não",'Extração'!J:J,A532)/B532)</f>
        <v/>
      </c>
      <c r="H532" s="12" t="str">
        <f>IF(B532=0,"",COUNTIFS('Extração'!O:O,"Não",'Extração'!J:J,A532)/B532)</f>
        <v/>
      </c>
      <c r="I532" s="12" t="str">
        <f>IF(B532=0,"",COUNTIFS('Extração'!P:P,"Igual",'Extração'!J:J,A532)/B532)</f>
        <v/>
      </c>
    </row>
    <row r="533">
      <c r="B533" s="12">
        <f>COUNTIF('Extração'!J:J,A533)</f>
        <v>0</v>
      </c>
      <c r="C533" s="12" t="str">
        <f>IF(B533=0,"",COUNTIFS('Extração'!N:N,"Sim",'Extração'!J:J,A533)/B533)</f>
        <v/>
      </c>
      <c r="D533" s="12" t="str">
        <f>IF(B533=0,"",COUNTIFS('Extração'!O:O,"Sim",'Extração'!J:J,A533)/B533)</f>
        <v/>
      </c>
      <c r="E533" s="12" t="str">
        <f>IF(B533=0,"",COUNTIFS('Extração'!N:N,"Parcialmente",'Extração'!J:J,A533)/B533)</f>
        <v/>
      </c>
      <c r="F533" s="12" t="str">
        <f>IF(B533=0,"",COUNTIFS('Extração'!O:O,"Parcialmente",'Extração'!J:J,A533)/B533)</f>
        <v/>
      </c>
      <c r="G533" s="12" t="str">
        <f>IF(B533=0,"",COUNTIFS('Extração'!N:N,"Não",'Extração'!J:J,A533)/B533)</f>
        <v/>
      </c>
      <c r="H533" s="12" t="str">
        <f>IF(B533=0,"",COUNTIFS('Extração'!O:O,"Não",'Extração'!J:J,A533)/B533)</f>
        <v/>
      </c>
      <c r="I533" s="12" t="str">
        <f>IF(B533=0,"",COUNTIFS('Extração'!P:P,"Igual",'Extração'!J:J,A533)/B533)</f>
        <v/>
      </c>
    </row>
    <row r="534">
      <c r="B534" s="12">
        <f>COUNTIF('Extração'!J:J,A534)</f>
        <v>0</v>
      </c>
      <c r="C534" s="12" t="str">
        <f>IF(B534=0,"",COUNTIFS('Extração'!N:N,"Sim",'Extração'!J:J,A534)/B534)</f>
        <v/>
      </c>
      <c r="D534" s="12" t="str">
        <f>IF(B534=0,"",COUNTIFS('Extração'!O:O,"Sim",'Extração'!J:J,A534)/B534)</f>
        <v/>
      </c>
      <c r="E534" s="12" t="str">
        <f>IF(B534=0,"",COUNTIFS('Extração'!N:N,"Parcialmente",'Extração'!J:J,A534)/B534)</f>
        <v/>
      </c>
      <c r="F534" s="12" t="str">
        <f>IF(B534=0,"",COUNTIFS('Extração'!O:O,"Parcialmente",'Extração'!J:J,A534)/B534)</f>
        <v/>
      </c>
      <c r="G534" s="12" t="str">
        <f>IF(B534=0,"",COUNTIFS('Extração'!N:N,"Não",'Extração'!J:J,A534)/B534)</f>
        <v/>
      </c>
      <c r="H534" s="12" t="str">
        <f>IF(B534=0,"",COUNTIFS('Extração'!O:O,"Não",'Extração'!J:J,A534)/B534)</f>
        <v/>
      </c>
      <c r="I534" s="12" t="str">
        <f>IF(B534=0,"",COUNTIFS('Extração'!P:P,"Igual",'Extração'!J:J,A534)/B534)</f>
        <v/>
      </c>
    </row>
    <row r="535">
      <c r="B535" s="12">
        <f>COUNTIF('Extração'!J:J,A535)</f>
        <v>0</v>
      </c>
      <c r="C535" s="12" t="str">
        <f>IF(B535=0,"",COUNTIFS('Extração'!N:N,"Sim",'Extração'!J:J,A535)/B535)</f>
        <v/>
      </c>
      <c r="D535" s="12" t="str">
        <f>IF(B535=0,"",COUNTIFS('Extração'!O:O,"Sim",'Extração'!J:J,A535)/B535)</f>
        <v/>
      </c>
      <c r="E535" s="12" t="str">
        <f>IF(B535=0,"",COUNTIFS('Extração'!N:N,"Parcialmente",'Extração'!J:J,A535)/B535)</f>
        <v/>
      </c>
      <c r="F535" s="12" t="str">
        <f>IF(B535=0,"",COUNTIFS('Extração'!O:O,"Parcialmente",'Extração'!J:J,A535)/B535)</f>
        <v/>
      </c>
      <c r="G535" s="12" t="str">
        <f>IF(B535=0,"",COUNTIFS('Extração'!N:N,"Não",'Extração'!J:J,A535)/B535)</f>
        <v/>
      </c>
      <c r="H535" s="12" t="str">
        <f>IF(B535=0,"",COUNTIFS('Extração'!O:O,"Não",'Extração'!J:J,A535)/B535)</f>
        <v/>
      </c>
      <c r="I535" s="12" t="str">
        <f>IF(B535=0,"",COUNTIFS('Extração'!P:P,"Igual",'Extração'!J:J,A535)/B535)</f>
        <v/>
      </c>
    </row>
    <row r="536">
      <c r="B536" s="12">
        <f>COUNTIF('Extração'!J:J,A536)</f>
        <v>0</v>
      </c>
      <c r="C536" s="12" t="str">
        <f>IF(B536=0,"",COUNTIFS('Extração'!N:N,"Sim",'Extração'!J:J,A536)/B536)</f>
        <v/>
      </c>
      <c r="D536" s="12" t="str">
        <f>IF(B536=0,"",COUNTIFS('Extração'!O:O,"Sim",'Extração'!J:J,A536)/B536)</f>
        <v/>
      </c>
      <c r="E536" s="12" t="str">
        <f>IF(B536=0,"",COUNTIFS('Extração'!N:N,"Parcialmente",'Extração'!J:J,A536)/B536)</f>
        <v/>
      </c>
      <c r="F536" s="12" t="str">
        <f>IF(B536=0,"",COUNTIFS('Extração'!O:O,"Parcialmente",'Extração'!J:J,A536)/B536)</f>
        <v/>
      </c>
      <c r="G536" s="12" t="str">
        <f>IF(B536=0,"",COUNTIFS('Extração'!N:N,"Não",'Extração'!J:J,A536)/B536)</f>
        <v/>
      </c>
      <c r="H536" s="12" t="str">
        <f>IF(B536=0,"",COUNTIFS('Extração'!O:O,"Não",'Extração'!J:J,A536)/B536)</f>
        <v/>
      </c>
      <c r="I536" s="12" t="str">
        <f>IF(B536=0,"",COUNTIFS('Extração'!P:P,"Igual",'Extração'!J:J,A536)/B536)</f>
        <v/>
      </c>
    </row>
    <row r="537">
      <c r="B537" s="12">
        <f>COUNTIF('Extração'!J:J,A537)</f>
        <v>0</v>
      </c>
      <c r="C537" s="12" t="str">
        <f>IF(B537=0,"",COUNTIFS('Extração'!N:N,"Sim",'Extração'!J:J,A537)/B537)</f>
        <v/>
      </c>
      <c r="D537" s="12" t="str">
        <f>IF(B537=0,"",COUNTIFS('Extração'!O:O,"Sim",'Extração'!J:J,A537)/B537)</f>
        <v/>
      </c>
      <c r="E537" s="12" t="str">
        <f>IF(B537=0,"",COUNTIFS('Extração'!N:N,"Parcialmente",'Extração'!J:J,A537)/B537)</f>
        <v/>
      </c>
      <c r="F537" s="12" t="str">
        <f>IF(B537=0,"",COUNTIFS('Extração'!O:O,"Parcialmente",'Extração'!J:J,A537)/B537)</f>
        <v/>
      </c>
      <c r="G537" s="12" t="str">
        <f>IF(B537=0,"",COUNTIFS('Extração'!N:N,"Não",'Extração'!J:J,A537)/B537)</f>
        <v/>
      </c>
      <c r="H537" s="12" t="str">
        <f>IF(B537=0,"",COUNTIFS('Extração'!O:O,"Não",'Extração'!J:J,A537)/B537)</f>
        <v/>
      </c>
      <c r="I537" s="12" t="str">
        <f>IF(B537=0,"",COUNTIFS('Extração'!P:P,"Igual",'Extração'!J:J,A537)/B537)</f>
        <v/>
      </c>
    </row>
    <row r="538">
      <c r="B538" s="12">
        <f>COUNTIF('Extração'!J:J,A538)</f>
        <v>0</v>
      </c>
      <c r="C538" s="12" t="str">
        <f>IF(B538=0,"",COUNTIFS('Extração'!N:N,"Sim",'Extração'!J:J,A538)/B538)</f>
        <v/>
      </c>
      <c r="D538" s="12" t="str">
        <f>IF(B538=0,"",COUNTIFS('Extração'!O:O,"Sim",'Extração'!J:J,A538)/B538)</f>
        <v/>
      </c>
      <c r="E538" s="12" t="str">
        <f>IF(B538=0,"",COUNTIFS('Extração'!N:N,"Parcialmente",'Extração'!J:J,A538)/B538)</f>
        <v/>
      </c>
      <c r="F538" s="12" t="str">
        <f>IF(B538=0,"",COUNTIFS('Extração'!O:O,"Parcialmente",'Extração'!J:J,A538)/B538)</f>
        <v/>
      </c>
      <c r="G538" s="12" t="str">
        <f>IF(B538=0,"",COUNTIFS('Extração'!N:N,"Não",'Extração'!J:J,A538)/B538)</f>
        <v/>
      </c>
      <c r="H538" s="12" t="str">
        <f>IF(B538=0,"",COUNTIFS('Extração'!O:O,"Não",'Extração'!J:J,A538)/B538)</f>
        <v/>
      </c>
      <c r="I538" s="12" t="str">
        <f>IF(B538=0,"",COUNTIFS('Extração'!P:P,"Igual",'Extração'!J:J,A538)/B538)</f>
        <v/>
      </c>
    </row>
    <row r="539">
      <c r="B539" s="12">
        <f>COUNTIF('Extração'!J:J,A539)</f>
        <v>0</v>
      </c>
      <c r="C539" s="12" t="str">
        <f>IF(B539=0,"",COUNTIFS('Extração'!N:N,"Sim",'Extração'!J:J,A539)/B539)</f>
        <v/>
      </c>
      <c r="D539" s="12" t="str">
        <f>IF(B539=0,"",COUNTIFS('Extração'!O:O,"Sim",'Extração'!J:J,A539)/B539)</f>
        <v/>
      </c>
      <c r="E539" s="12" t="str">
        <f>IF(B539=0,"",COUNTIFS('Extração'!N:N,"Parcialmente",'Extração'!J:J,A539)/B539)</f>
        <v/>
      </c>
      <c r="F539" s="12" t="str">
        <f>IF(B539=0,"",COUNTIFS('Extração'!O:O,"Parcialmente",'Extração'!J:J,A539)/B539)</f>
        <v/>
      </c>
      <c r="G539" s="12" t="str">
        <f>IF(B539=0,"",COUNTIFS('Extração'!N:N,"Não",'Extração'!J:J,A539)/B539)</f>
        <v/>
      </c>
      <c r="H539" s="12" t="str">
        <f>IF(B539=0,"",COUNTIFS('Extração'!O:O,"Não",'Extração'!J:J,A539)/B539)</f>
        <v/>
      </c>
      <c r="I539" s="12" t="str">
        <f>IF(B539=0,"",COUNTIFS('Extração'!P:P,"Igual",'Extração'!J:J,A539)/B539)</f>
        <v/>
      </c>
    </row>
    <row r="540">
      <c r="B540" s="12">
        <f>COUNTIF('Extração'!J:J,A540)</f>
        <v>0</v>
      </c>
      <c r="C540" s="12" t="str">
        <f>IF(B540=0,"",COUNTIFS('Extração'!N:N,"Sim",'Extração'!J:J,A540)/B540)</f>
        <v/>
      </c>
      <c r="D540" s="12" t="str">
        <f>IF(B540=0,"",COUNTIFS('Extração'!O:O,"Sim",'Extração'!J:J,A540)/B540)</f>
        <v/>
      </c>
      <c r="E540" s="12" t="str">
        <f>IF(B540=0,"",COUNTIFS('Extração'!N:N,"Parcialmente",'Extração'!J:J,A540)/B540)</f>
        <v/>
      </c>
      <c r="F540" s="12" t="str">
        <f>IF(B540=0,"",COUNTIFS('Extração'!O:O,"Parcialmente",'Extração'!J:J,A540)/B540)</f>
        <v/>
      </c>
      <c r="G540" s="12" t="str">
        <f>IF(B540=0,"",COUNTIFS('Extração'!N:N,"Não",'Extração'!J:J,A540)/B540)</f>
        <v/>
      </c>
      <c r="H540" s="12" t="str">
        <f>IF(B540=0,"",COUNTIFS('Extração'!O:O,"Não",'Extração'!J:J,A540)/B540)</f>
        <v/>
      </c>
      <c r="I540" s="12" t="str">
        <f>IF(B540=0,"",COUNTIFS('Extração'!P:P,"Igual",'Extração'!J:J,A540)/B540)</f>
        <v/>
      </c>
    </row>
    <row r="541">
      <c r="B541" s="12">
        <f>COUNTIF('Extração'!J:J,A541)</f>
        <v>0</v>
      </c>
      <c r="C541" s="12" t="str">
        <f>IF(B541=0,"",COUNTIFS('Extração'!N:N,"Sim",'Extração'!J:J,A541)/B541)</f>
        <v/>
      </c>
      <c r="D541" s="12" t="str">
        <f>IF(B541=0,"",COUNTIFS('Extração'!O:O,"Sim",'Extração'!J:J,A541)/B541)</f>
        <v/>
      </c>
      <c r="E541" s="12" t="str">
        <f>IF(B541=0,"",COUNTIFS('Extração'!N:N,"Parcialmente",'Extração'!J:J,A541)/B541)</f>
        <v/>
      </c>
      <c r="F541" s="12" t="str">
        <f>IF(B541=0,"",COUNTIFS('Extração'!O:O,"Parcialmente",'Extração'!J:J,A541)/B541)</f>
        <v/>
      </c>
      <c r="G541" s="12" t="str">
        <f>IF(B541=0,"",COUNTIFS('Extração'!N:N,"Não",'Extração'!J:J,A541)/B541)</f>
        <v/>
      </c>
      <c r="H541" s="12" t="str">
        <f>IF(B541=0,"",COUNTIFS('Extração'!O:O,"Não",'Extração'!J:J,A541)/B541)</f>
        <v/>
      </c>
      <c r="I541" s="12" t="str">
        <f>IF(B541=0,"",COUNTIFS('Extração'!P:P,"Igual",'Extração'!J:J,A541)/B541)</f>
        <v/>
      </c>
    </row>
    <row r="542">
      <c r="B542" s="12">
        <f>COUNTIF('Extração'!J:J,A542)</f>
        <v>0</v>
      </c>
      <c r="C542" s="12" t="str">
        <f>IF(B542=0,"",COUNTIFS('Extração'!N:N,"Sim",'Extração'!J:J,A542)/B542)</f>
        <v/>
      </c>
      <c r="D542" s="12" t="str">
        <f>IF(B542=0,"",COUNTIFS('Extração'!O:O,"Sim",'Extração'!J:J,A542)/B542)</f>
        <v/>
      </c>
      <c r="E542" s="12" t="str">
        <f>IF(B542=0,"",COUNTIFS('Extração'!N:N,"Parcialmente",'Extração'!J:J,A542)/B542)</f>
        <v/>
      </c>
      <c r="F542" s="12" t="str">
        <f>IF(B542=0,"",COUNTIFS('Extração'!O:O,"Parcialmente",'Extração'!J:J,A542)/B542)</f>
        <v/>
      </c>
      <c r="G542" s="12" t="str">
        <f>IF(B542=0,"",COUNTIFS('Extração'!N:N,"Não",'Extração'!J:J,A542)/B542)</f>
        <v/>
      </c>
      <c r="H542" s="12" t="str">
        <f>IF(B542=0,"",COUNTIFS('Extração'!O:O,"Não",'Extração'!J:J,A542)/B542)</f>
        <v/>
      </c>
      <c r="I542" s="12" t="str">
        <f>IF(B542=0,"",COUNTIFS('Extração'!P:P,"Igual",'Extração'!J:J,A542)/B542)</f>
        <v/>
      </c>
    </row>
    <row r="543">
      <c r="B543" s="12">
        <f>COUNTIF('Extração'!J:J,A543)</f>
        <v>0</v>
      </c>
      <c r="C543" s="12" t="str">
        <f>IF(B543=0,"",COUNTIFS('Extração'!N:N,"Sim",'Extração'!J:J,A543)/B543)</f>
        <v/>
      </c>
      <c r="D543" s="12" t="str">
        <f>IF(B543=0,"",COUNTIFS('Extração'!O:O,"Sim",'Extração'!J:J,A543)/B543)</f>
        <v/>
      </c>
      <c r="E543" s="12" t="str">
        <f>IF(B543=0,"",COUNTIFS('Extração'!N:N,"Parcialmente",'Extração'!J:J,A543)/B543)</f>
        <v/>
      </c>
      <c r="F543" s="12" t="str">
        <f>IF(B543=0,"",COUNTIFS('Extração'!O:O,"Parcialmente",'Extração'!J:J,A543)/B543)</f>
        <v/>
      </c>
      <c r="G543" s="12" t="str">
        <f>IF(B543=0,"",COUNTIFS('Extração'!N:N,"Não",'Extração'!J:J,A543)/B543)</f>
        <v/>
      </c>
      <c r="H543" s="12" t="str">
        <f>IF(B543=0,"",COUNTIFS('Extração'!O:O,"Não",'Extração'!J:J,A543)/B543)</f>
        <v/>
      </c>
      <c r="I543" s="12" t="str">
        <f>IF(B543=0,"",COUNTIFS('Extração'!P:P,"Igual",'Extração'!J:J,A543)/B543)</f>
        <v/>
      </c>
    </row>
    <row r="544">
      <c r="B544" s="12">
        <f>COUNTIF('Extração'!J:J,A544)</f>
        <v>0</v>
      </c>
      <c r="C544" s="12" t="str">
        <f>IF(B544=0,"",COUNTIFS('Extração'!N:N,"Sim",'Extração'!J:J,A544)/B544)</f>
        <v/>
      </c>
      <c r="D544" s="12" t="str">
        <f>IF(B544=0,"",COUNTIFS('Extração'!O:O,"Sim",'Extração'!J:J,A544)/B544)</f>
        <v/>
      </c>
      <c r="E544" s="12" t="str">
        <f>IF(B544=0,"",COUNTIFS('Extração'!N:N,"Parcialmente",'Extração'!J:J,A544)/B544)</f>
        <v/>
      </c>
      <c r="F544" s="12" t="str">
        <f>IF(B544=0,"",COUNTIFS('Extração'!O:O,"Parcialmente",'Extração'!J:J,A544)/B544)</f>
        <v/>
      </c>
      <c r="G544" s="12" t="str">
        <f>IF(B544=0,"",COUNTIFS('Extração'!N:N,"Não",'Extração'!J:J,A544)/B544)</f>
        <v/>
      </c>
      <c r="H544" s="12" t="str">
        <f>IF(B544=0,"",COUNTIFS('Extração'!O:O,"Não",'Extração'!J:J,A544)/B544)</f>
        <v/>
      </c>
      <c r="I544" s="12" t="str">
        <f>IF(B544=0,"",COUNTIFS('Extração'!P:P,"Igual",'Extração'!J:J,A544)/B544)</f>
        <v/>
      </c>
    </row>
    <row r="545">
      <c r="B545" s="12">
        <f>COUNTIF('Extração'!J:J,A545)</f>
        <v>0</v>
      </c>
      <c r="C545" s="12" t="str">
        <f>IF(B545=0,"",COUNTIFS('Extração'!N:N,"Sim",'Extração'!J:J,A545)/B545)</f>
        <v/>
      </c>
      <c r="D545" s="12" t="str">
        <f>IF(B545=0,"",COUNTIFS('Extração'!O:O,"Sim",'Extração'!J:J,A545)/B545)</f>
        <v/>
      </c>
      <c r="E545" s="12" t="str">
        <f>IF(B545=0,"",COUNTIFS('Extração'!N:N,"Parcialmente",'Extração'!J:J,A545)/B545)</f>
        <v/>
      </c>
      <c r="F545" s="12" t="str">
        <f>IF(B545=0,"",COUNTIFS('Extração'!O:O,"Parcialmente",'Extração'!J:J,A545)/B545)</f>
        <v/>
      </c>
      <c r="G545" s="12" t="str">
        <f>IF(B545=0,"",COUNTIFS('Extração'!N:N,"Não",'Extração'!J:J,A545)/B545)</f>
        <v/>
      </c>
      <c r="H545" s="12" t="str">
        <f>IF(B545=0,"",COUNTIFS('Extração'!O:O,"Não",'Extração'!J:J,A545)/B545)</f>
        <v/>
      </c>
      <c r="I545" s="12" t="str">
        <f>IF(B545=0,"",COUNTIFS('Extração'!P:P,"Igual",'Extração'!J:J,A545)/B545)</f>
        <v/>
      </c>
    </row>
    <row r="546">
      <c r="B546" s="12">
        <f>COUNTIF('Extração'!J:J,A546)</f>
        <v>0</v>
      </c>
      <c r="C546" s="12" t="str">
        <f>IF(B546=0,"",COUNTIFS('Extração'!N:N,"Sim",'Extração'!J:J,A546)/B546)</f>
        <v/>
      </c>
      <c r="D546" s="12" t="str">
        <f>IF(B546=0,"",COUNTIFS('Extração'!O:O,"Sim",'Extração'!J:J,A546)/B546)</f>
        <v/>
      </c>
      <c r="E546" s="12" t="str">
        <f>IF(B546=0,"",COUNTIFS('Extração'!N:N,"Parcialmente",'Extração'!J:J,A546)/B546)</f>
        <v/>
      </c>
      <c r="F546" s="12" t="str">
        <f>IF(B546=0,"",COUNTIFS('Extração'!O:O,"Parcialmente",'Extração'!J:J,A546)/B546)</f>
        <v/>
      </c>
      <c r="G546" s="12" t="str">
        <f>IF(B546=0,"",COUNTIFS('Extração'!N:N,"Não",'Extração'!J:J,A546)/B546)</f>
        <v/>
      </c>
      <c r="H546" s="12" t="str">
        <f>IF(B546=0,"",COUNTIFS('Extração'!O:O,"Não",'Extração'!J:J,A546)/B546)</f>
        <v/>
      </c>
      <c r="I546" s="12" t="str">
        <f>IF(B546=0,"",COUNTIFS('Extração'!P:P,"Igual",'Extração'!J:J,A546)/B546)</f>
        <v/>
      </c>
    </row>
    <row r="547">
      <c r="B547" s="12">
        <f>COUNTIF('Extração'!J:J,A547)</f>
        <v>0</v>
      </c>
      <c r="C547" s="12" t="str">
        <f>IF(B547=0,"",COUNTIFS('Extração'!N:N,"Sim",'Extração'!J:J,A547)/B547)</f>
        <v/>
      </c>
      <c r="D547" s="12" t="str">
        <f>IF(B547=0,"",COUNTIFS('Extração'!O:O,"Sim",'Extração'!J:J,A547)/B547)</f>
        <v/>
      </c>
      <c r="E547" s="12" t="str">
        <f>IF(B547=0,"",COUNTIFS('Extração'!N:N,"Parcialmente",'Extração'!J:J,A547)/B547)</f>
        <v/>
      </c>
      <c r="F547" s="12" t="str">
        <f>IF(B547=0,"",COUNTIFS('Extração'!O:O,"Parcialmente",'Extração'!J:J,A547)/B547)</f>
        <v/>
      </c>
      <c r="G547" s="12" t="str">
        <f>IF(B547=0,"",COUNTIFS('Extração'!N:N,"Não",'Extração'!J:J,A547)/B547)</f>
        <v/>
      </c>
      <c r="H547" s="12" t="str">
        <f>IF(B547=0,"",COUNTIFS('Extração'!O:O,"Não",'Extração'!J:J,A547)/B547)</f>
        <v/>
      </c>
      <c r="I547" s="12" t="str">
        <f>IF(B547=0,"",COUNTIFS('Extração'!P:P,"Igual",'Extração'!J:J,A547)/B547)</f>
        <v/>
      </c>
    </row>
    <row r="548">
      <c r="B548" s="12">
        <f>COUNTIF('Extração'!J:J,A548)</f>
        <v>0</v>
      </c>
      <c r="C548" s="12" t="str">
        <f>IF(B548=0,"",COUNTIFS('Extração'!N:N,"Sim",'Extração'!J:J,A548)/B548)</f>
        <v/>
      </c>
      <c r="D548" s="12" t="str">
        <f>IF(B548=0,"",COUNTIFS('Extração'!O:O,"Sim",'Extração'!J:J,A548)/B548)</f>
        <v/>
      </c>
      <c r="E548" s="12" t="str">
        <f>IF(B548=0,"",COUNTIFS('Extração'!N:N,"Parcialmente",'Extração'!J:J,A548)/B548)</f>
        <v/>
      </c>
      <c r="F548" s="12" t="str">
        <f>IF(B548=0,"",COUNTIFS('Extração'!O:O,"Parcialmente",'Extração'!J:J,A548)/B548)</f>
        <v/>
      </c>
      <c r="G548" s="12" t="str">
        <f>IF(B548=0,"",COUNTIFS('Extração'!N:N,"Não",'Extração'!J:J,A548)/B548)</f>
        <v/>
      </c>
      <c r="H548" s="12" t="str">
        <f>IF(B548=0,"",COUNTIFS('Extração'!O:O,"Não",'Extração'!J:J,A548)/B548)</f>
        <v/>
      </c>
      <c r="I548" s="12" t="str">
        <f>IF(B548=0,"",COUNTIFS('Extração'!P:P,"Igual",'Extração'!J:J,A548)/B548)</f>
        <v/>
      </c>
    </row>
    <row r="549">
      <c r="B549" s="12">
        <f>COUNTIF('Extração'!J:J,A549)</f>
        <v>0</v>
      </c>
      <c r="C549" s="12" t="str">
        <f>IF(B549=0,"",COUNTIFS('Extração'!N:N,"Sim",'Extração'!J:J,A549)/B549)</f>
        <v/>
      </c>
      <c r="D549" s="12" t="str">
        <f>IF(B549=0,"",COUNTIFS('Extração'!O:O,"Sim",'Extração'!J:J,A549)/B549)</f>
        <v/>
      </c>
      <c r="E549" s="12" t="str">
        <f>IF(B549=0,"",COUNTIFS('Extração'!N:N,"Parcialmente",'Extração'!J:J,A549)/B549)</f>
        <v/>
      </c>
      <c r="F549" s="12" t="str">
        <f>IF(B549=0,"",COUNTIFS('Extração'!O:O,"Parcialmente",'Extração'!J:J,A549)/B549)</f>
        <v/>
      </c>
      <c r="G549" s="12" t="str">
        <f>IF(B549=0,"",COUNTIFS('Extração'!N:N,"Não",'Extração'!J:J,A549)/B549)</f>
        <v/>
      </c>
      <c r="H549" s="12" t="str">
        <f>IF(B549=0,"",COUNTIFS('Extração'!O:O,"Não",'Extração'!J:J,A549)/B549)</f>
        <v/>
      </c>
      <c r="I549" s="12" t="str">
        <f>IF(B549=0,"",COUNTIFS('Extração'!P:P,"Igual",'Extração'!J:J,A549)/B549)</f>
        <v/>
      </c>
    </row>
    <row r="550">
      <c r="B550" s="12">
        <f>COUNTIF('Extração'!J:J,A550)</f>
        <v>0</v>
      </c>
      <c r="C550" s="12" t="str">
        <f>IF(B550=0,"",COUNTIFS('Extração'!N:N,"Sim",'Extração'!J:J,A550)/B550)</f>
        <v/>
      </c>
      <c r="D550" s="12" t="str">
        <f>IF(B550=0,"",COUNTIFS('Extração'!O:O,"Sim",'Extração'!J:J,A550)/B550)</f>
        <v/>
      </c>
      <c r="E550" s="12" t="str">
        <f>IF(B550=0,"",COUNTIFS('Extração'!N:N,"Parcialmente",'Extração'!J:J,A550)/B550)</f>
        <v/>
      </c>
      <c r="F550" s="12" t="str">
        <f>IF(B550=0,"",COUNTIFS('Extração'!O:O,"Parcialmente",'Extração'!J:J,A550)/B550)</f>
        <v/>
      </c>
      <c r="G550" s="12" t="str">
        <f>IF(B550=0,"",COUNTIFS('Extração'!N:N,"Não",'Extração'!J:J,A550)/B550)</f>
        <v/>
      </c>
      <c r="H550" s="12" t="str">
        <f>IF(B550=0,"",COUNTIFS('Extração'!O:O,"Não",'Extração'!J:J,A550)/B550)</f>
        <v/>
      </c>
      <c r="I550" s="12" t="str">
        <f>IF(B550=0,"",COUNTIFS('Extração'!P:P,"Igual",'Extração'!J:J,A550)/B550)</f>
        <v/>
      </c>
    </row>
    <row r="551">
      <c r="B551" s="12">
        <f>COUNTIF('Extração'!J:J,A551)</f>
        <v>0</v>
      </c>
      <c r="C551" s="12" t="str">
        <f>IF(B551=0,"",COUNTIFS('Extração'!N:N,"Sim",'Extração'!J:J,A551)/B551)</f>
        <v/>
      </c>
      <c r="D551" s="12" t="str">
        <f>IF(B551=0,"",COUNTIFS('Extração'!O:O,"Sim",'Extração'!J:J,A551)/B551)</f>
        <v/>
      </c>
      <c r="E551" s="12" t="str">
        <f>IF(B551=0,"",COUNTIFS('Extração'!N:N,"Parcialmente",'Extração'!J:J,A551)/B551)</f>
        <v/>
      </c>
      <c r="F551" s="12" t="str">
        <f>IF(B551=0,"",COUNTIFS('Extração'!O:O,"Parcialmente",'Extração'!J:J,A551)/B551)</f>
        <v/>
      </c>
      <c r="G551" s="12" t="str">
        <f>IF(B551=0,"",COUNTIFS('Extração'!N:N,"Não",'Extração'!J:J,A551)/B551)</f>
        <v/>
      </c>
      <c r="H551" s="12" t="str">
        <f>IF(B551=0,"",COUNTIFS('Extração'!O:O,"Não",'Extração'!J:J,A551)/B551)</f>
        <v/>
      </c>
      <c r="I551" s="12" t="str">
        <f>IF(B551=0,"",COUNTIFS('Extração'!P:P,"Igual",'Extração'!J:J,A551)/B551)</f>
        <v/>
      </c>
    </row>
    <row r="552">
      <c r="B552" s="12">
        <f>COUNTIF('Extração'!J:J,A552)</f>
        <v>0</v>
      </c>
      <c r="C552" s="12" t="str">
        <f>IF(B552=0,"",COUNTIFS('Extração'!N:N,"Sim",'Extração'!J:J,A552)/B552)</f>
        <v/>
      </c>
      <c r="D552" s="12" t="str">
        <f>IF(B552=0,"",COUNTIFS('Extração'!O:O,"Sim",'Extração'!J:J,A552)/B552)</f>
        <v/>
      </c>
      <c r="E552" s="12" t="str">
        <f>IF(B552=0,"",COUNTIFS('Extração'!N:N,"Parcialmente",'Extração'!J:J,A552)/B552)</f>
        <v/>
      </c>
      <c r="F552" s="12" t="str">
        <f>IF(B552=0,"",COUNTIFS('Extração'!O:O,"Parcialmente",'Extração'!J:J,A552)/B552)</f>
        <v/>
      </c>
      <c r="G552" s="12" t="str">
        <f>IF(B552=0,"",COUNTIFS('Extração'!N:N,"Não",'Extração'!J:J,A552)/B552)</f>
        <v/>
      </c>
      <c r="H552" s="12" t="str">
        <f>IF(B552=0,"",COUNTIFS('Extração'!O:O,"Não",'Extração'!J:J,A552)/B552)</f>
        <v/>
      </c>
      <c r="I552" s="12" t="str">
        <f>IF(B552=0,"",COUNTIFS('Extração'!P:P,"Igual",'Extração'!J:J,A552)/B552)</f>
        <v/>
      </c>
    </row>
    <row r="553">
      <c r="B553" s="12">
        <f>COUNTIF('Extração'!J:J,A553)</f>
        <v>0</v>
      </c>
      <c r="C553" s="12" t="str">
        <f>IF(B553=0,"",COUNTIFS('Extração'!N:N,"Sim",'Extração'!J:J,A553)/B553)</f>
        <v/>
      </c>
      <c r="D553" s="12" t="str">
        <f>IF(B553=0,"",COUNTIFS('Extração'!O:O,"Sim",'Extração'!J:J,A553)/B553)</f>
        <v/>
      </c>
      <c r="E553" s="12" t="str">
        <f>IF(B553=0,"",COUNTIFS('Extração'!N:N,"Parcialmente",'Extração'!J:J,A553)/B553)</f>
        <v/>
      </c>
      <c r="F553" s="12" t="str">
        <f>IF(B553=0,"",COUNTIFS('Extração'!O:O,"Parcialmente",'Extração'!J:J,A553)/B553)</f>
        <v/>
      </c>
      <c r="G553" s="12" t="str">
        <f>IF(B553=0,"",COUNTIFS('Extração'!N:N,"Não",'Extração'!J:J,A553)/B553)</f>
        <v/>
      </c>
      <c r="H553" s="12" t="str">
        <f>IF(B553=0,"",COUNTIFS('Extração'!O:O,"Não",'Extração'!J:J,A553)/B553)</f>
        <v/>
      </c>
      <c r="I553" s="12" t="str">
        <f>IF(B553=0,"",COUNTIFS('Extração'!P:P,"Igual",'Extração'!J:J,A553)/B553)</f>
        <v/>
      </c>
    </row>
    <row r="554">
      <c r="B554" s="12">
        <f>COUNTIF('Extração'!J:J,A554)</f>
        <v>0</v>
      </c>
      <c r="C554" s="12" t="str">
        <f>IF(B554=0,"",COUNTIFS('Extração'!N:N,"Sim",'Extração'!J:J,A554)/B554)</f>
        <v/>
      </c>
      <c r="D554" s="12" t="str">
        <f>IF(B554=0,"",COUNTIFS('Extração'!O:O,"Sim",'Extração'!J:J,A554)/B554)</f>
        <v/>
      </c>
      <c r="E554" s="12" t="str">
        <f>IF(B554=0,"",COUNTIFS('Extração'!N:N,"Parcialmente",'Extração'!J:J,A554)/B554)</f>
        <v/>
      </c>
      <c r="F554" s="12" t="str">
        <f>IF(B554=0,"",COUNTIFS('Extração'!O:O,"Parcialmente",'Extração'!J:J,A554)/B554)</f>
        <v/>
      </c>
      <c r="G554" s="12" t="str">
        <f>IF(B554=0,"",COUNTIFS('Extração'!N:N,"Não",'Extração'!J:J,A554)/B554)</f>
        <v/>
      </c>
      <c r="H554" s="12" t="str">
        <f>IF(B554=0,"",COUNTIFS('Extração'!O:O,"Não",'Extração'!J:J,A554)/B554)</f>
        <v/>
      </c>
      <c r="I554" s="12" t="str">
        <f>IF(B554=0,"",COUNTIFS('Extração'!P:P,"Igual",'Extração'!J:J,A554)/B554)</f>
        <v/>
      </c>
    </row>
    <row r="555">
      <c r="B555" s="12">
        <f>COUNTIF('Extração'!J:J,A555)</f>
        <v>0</v>
      </c>
      <c r="C555" s="12" t="str">
        <f>IF(B555=0,"",COUNTIFS('Extração'!N:N,"Sim",'Extração'!J:J,A555)/B555)</f>
        <v/>
      </c>
      <c r="D555" s="12" t="str">
        <f>IF(B555=0,"",COUNTIFS('Extração'!O:O,"Sim",'Extração'!J:J,A555)/B555)</f>
        <v/>
      </c>
      <c r="E555" s="12" t="str">
        <f>IF(B555=0,"",COUNTIFS('Extração'!N:N,"Parcialmente",'Extração'!J:J,A555)/B555)</f>
        <v/>
      </c>
      <c r="F555" s="12" t="str">
        <f>IF(B555=0,"",COUNTIFS('Extração'!O:O,"Parcialmente",'Extração'!J:J,A555)/B555)</f>
        <v/>
      </c>
      <c r="G555" s="12" t="str">
        <f>IF(B555=0,"",COUNTIFS('Extração'!N:N,"Não",'Extração'!J:J,A555)/B555)</f>
        <v/>
      </c>
      <c r="H555" s="12" t="str">
        <f>IF(B555=0,"",COUNTIFS('Extração'!O:O,"Não",'Extração'!J:J,A555)/B555)</f>
        <v/>
      </c>
      <c r="I555" s="12" t="str">
        <f>IF(B555=0,"",COUNTIFS('Extração'!P:P,"Igual",'Extração'!J:J,A555)/B555)</f>
        <v/>
      </c>
    </row>
    <row r="556">
      <c r="B556" s="12">
        <f>COUNTIF('Extração'!J:J,A556)</f>
        <v>0</v>
      </c>
      <c r="C556" s="12" t="str">
        <f>IF(B556=0,"",COUNTIFS('Extração'!N:N,"Sim",'Extração'!J:J,A556)/B556)</f>
        <v/>
      </c>
      <c r="D556" s="12" t="str">
        <f>IF(B556=0,"",COUNTIFS('Extração'!O:O,"Sim",'Extração'!J:J,A556)/B556)</f>
        <v/>
      </c>
      <c r="E556" s="12" t="str">
        <f>IF(B556=0,"",COUNTIFS('Extração'!N:N,"Parcialmente",'Extração'!J:J,A556)/B556)</f>
        <v/>
      </c>
      <c r="F556" s="12" t="str">
        <f>IF(B556=0,"",COUNTIFS('Extração'!O:O,"Parcialmente",'Extração'!J:J,A556)/B556)</f>
        <v/>
      </c>
      <c r="G556" s="12" t="str">
        <f>IF(B556=0,"",COUNTIFS('Extração'!N:N,"Não",'Extração'!J:J,A556)/B556)</f>
        <v/>
      </c>
      <c r="H556" s="12" t="str">
        <f>IF(B556=0,"",COUNTIFS('Extração'!O:O,"Não",'Extração'!J:J,A556)/B556)</f>
        <v/>
      </c>
      <c r="I556" s="12" t="str">
        <f>IF(B556=0,"",COUNTIFS('Extração'!P:P,"Igual",'Extração'!J:J,A556)/B556)</f>
        <v/>
      </c>
    </row>
    <row r="557">
      <c r="B557" s="12">
        <f>COUNTIF('Extração'!J:J,A557)</f>
        <v>0</v>
      </c>
      <c r="C557" s="12" t="str">
        <f>IF(B557=0,"",COUNTIFS('Extração'!N:N,"Sim",'Extração'!J:J,A557)/B557)</f>
        <v/>
      </c>
      <c r="D557" s="12" t="str">
        <f>IF(B557=0,"",COUNTIFS('Extração'!O:O,"Sim",'Extração'!J:J,A557)/B557)</f>
        <v/>
      </c>
      <c r="E557" s="12" t="str">
        <f>IF(B557=0,"",COUNTIFS('Extração'!N:N,"Parcialmente",'Extração'!J:J,A557)/B557)</f>
        <v/>
      </c>
      <c r="F557" s="12" t="str">
        <f>IF(B557=0,"",COUNTIFS('Extração'!O:O,"Parcialmente",'Extração'!J:J,A557)/B557)</f>
        <v/>
      </c>
      <c r="G557" s="12" t="str">
        <f>IF(B557=0,"",COUNTIFS('Extração'!N:N,"Não",'Extração'!J:J,A557)/B557)</f>
        <v/>
      </c>
      <c r="H557" s="12" t="str">
        <f>IF(B557=0,"",COUNTIFS('Extração'!O:O,"Não",'Extração'!J:J,A557)/B557)</f>
        <v/>
      </c>
      <c r="I557" s="12" t="str">
        <f>IF(B557=0,"",COUNTIFS('Extração'!P:P,"Igual",'Extração'!J:J,A557)/B557)</f>
        <v/>
      </c>
    </row>
    <row r="558">
      <c r="B558" s="12">
        <f>COUNTIF('Extração'!J:J,A558)</f>
        <v>0</v>
      </c>
      <c r="C558" s="12" t="str">
        <f>IF(B558=0,"",COUNTIFS('Extração'!N:N,"Sim",'Extração'!J:J,A558)/B558)</f>
        <v/>
      </c>
      <c r="D558" s="12" t="str">
        <f>IF(B558=0,"",COUNTIFS('Extração'!O:O,"Sim",'Extração'!J:J,A558)/B558)</f>
        <v/>
      </c>
      <c r="E558" s="12" t="str">
        <f>IF(B558=0,"",COUNTIFS('Extração'!N:N,"Parcialmente",'Extração'!J:J,A558)/B558)</f>
        <v/>
      </c>
      <c r="F558" s="12" t="str">
        <f>IF(B558=0,"",COUNTIFS('Extração'!O:O,"Parcialmente",'Extração'!J:J,A558)/B558)</f>
        <v/>
      </c>
      <c r="G558" s="12" t="str">
        <f>IF(B558=0,"",COUNTIFS('Extração'!N:N,"Não",'Extração'!J:J,A558)/B558)</f>
        <v/>
      </c>
      <c r="H558" s="12" t="str">
        <f>IF(B558=0,"",COUNTIFS('Extração'!O:O,"Não",'Extração'!J:J,A558)/B558)</f>
        <v/>
      </c>
      <c r="I558" s="12" t="str">
        <f>IF(B558=0,"",COUNTIFS('Extração'!P:P,"Igual",'Extração'!J:J,A558)/B558)</f>
        <v/>
      </c>
    </row>
    <row r="559">
      <c r="B559" s="12">
        <f>COUNTIF('Extração'!J:J,A559)</f>
        <v>0</v>
      </c>
      <c r="C559" s="12" t="str">
        <f>IF(B559=0,"",COUNTIFS('Extração'!N:N,"Sim",'Extração'!J:J,A559)/B559)</f>
        <v/>
      </c>
      <c r="D559" s="12" t="str">
        <f>IF(B559=0,"",COUNTIFS('Extração'!O:O,"Sim",'Extração'!J:J,A559)/B559)</f>
        <v/>
      </c>
      <c r="E559" s="12" t="str">
        <f>IF(B559=0,"",COUNTIFS('Extração'!N:N,"Parcialmente",'Extração'!J:J,A559)/B559)</f>
        <v/>
      </c>
      <c r="F559" s="12" t="str">
        <f>IF(B559=0,"",COUNTIFS('Extração'!O:O,"Parcialmente",'Extração'!J:J,A559)/B559)</f>
        <v/>
      </c>
      <c r="G559" s="12" t="str">
        <f>IF(B559=0,"",COUNTIFS('Extração'!N:N,"Não",'Extração'!J:J,A559)/B559)</f>
        <v/>
      </c>
      <c r="H559" s="12" t="str">
        <f>IF(B559=0,"",COUNTIFS('Extração'!O:O,"Não",'Extração'!J:J,A559)/B559)</f>
        <v/>
      </c>
      <c r="I559" s="12" t="str">
        <f>IF(B559=0,"",COUNTIFS('Extração'!P:P,"Igual",'Extração'!J:J,A559)/B559)</f>
        <v/>
      </c>
    </row>
    <row r="560">
      <c r="B560" s="12">
        <f>COUNTIF('Extração'!J:J,A560)</f>
        <v>0</v>
      </c>
      <c r="C560" s="12" t="str">
        <f>IF(B560=0,"",COUNTIFS('Extração'!N:N,"Sim",'Extração'!J:J,A560)/B560)</f>
        <v/>
      </c>
      <c r="D560" s="12" t="str">
        <f>IF(B560=0,"",COUNTIFS('Extração'!O:O,"Sim",'Extração'!J:J,A560)/B560)</f>
        <v/>
      </c>
      <c r="E560" s="12" t="str">
        <f>IF(B560=0,"",COUNTIFS('Extração'!N:N,"Parcialmente",'Extração'!J:J,A560)/B560)</f>
        <v/>
      </c>
      <c r="F560" s="12" t="str">
        <f>IF(B560=0,"",COUNTIFS('Extração'!O:O,"Parcialmente",'Extração'!J:J,A560)/B560)</f>
        <v/>
      </c>
      <c r="G560" s="12" t="str">
        <f>IF(B560=0,"",COUNTIFS('Extração'!N:N,"Não",'Extração'!J:J,A560)/B560)</f>
        <v/>
      </c>
      <c r="H560" s="12" t="str">
        <f>IF(B560=0,"",COUNTIFS('Extração'!O:O,"Não",'Extração'!J:J,A560)/B560)</f>
        <v/>
      </c>
      <c r="I560" s="12" t="str">
        <f>IF(B560=0,"",COUNTIFS('Extração'!P:P,"Igual",'Extração'!J:J,A560)/B560)</f>
        <v/>
      </c>
    </row>
    <row r="561">
      <c r="B561" s="12">
        <f>COUNTIF('Extração'!J:J,A561)</f>
        <v>0</v>
      </c>
      <c r="C561" s="12" t="str">
        <f>IF(B561=0,"",COUNTIFS('Extração'!N:N,"Sim",'Extração'!J:J,A561)/B561)</f>
        <v/>
      </c>
      <c r="D561" s="12" t="str">
        <f>IF(B561=0,"",COUNTIFS('Extração'!O:O,"Sim",'Extração'!J:J,A561)/B561)</f>
        <v/>
      </c>
      <c r="E561" s="12" t="str">
        <f>IF(B561=0,"",COUNTIFS('Extração'!N:N,"Parcialmente",'Extração'!J:J,A561)/B561)</f>
        <v/>
      </c>
      <c r="F561" s="12" t="str">
        <f>IF(B561=0,"",COUNTIFS('Extração'!O:O,"Parcialmente",'Extração'!J:J,A561)/B561)</f>
        <v/>
      </c>
      <c r="G561" s="12" t="str">
        <f>IF(B561=0,"",COUNTIFS('Extração'!N:N,"Não",'Extração'!J:J,A561)/B561)</f>
        <v/>
      </c>
      <c r="H561" s="12" t="str">
        <f>IF(B561=0,"",COUNTIFS('Extração'!O:O,"Não",'Extração'!J:J,A561)/B561)</f>
        <v/>
      </c>
      <c r="I561" s="12" t="str">
        <f>IF(B561=0,"",COUNTIFS('Extração'!P:P,"Igual",'Extração'!J:J,A561)/B561)</f>
        <v/>
      </c>
    </row>
    <row r="562">
      <c r="B562" s="12">
        <f>COUNTIF('Extração'!J:J,A562)</f>
        <v>0</v>
      </c>
      <c r="C562" s="12" t="str">
        <f>IF(B562=0,"",COUNTIFS('Extração'!N:N,"Sim",'Extração'!J:J,A562)/B562)</f>
        <v/>
      </c>
      <c r="D562" s="12" t="str">
        <f>IF(B562=0,"",COUNTIFS('Extração'!O:O,"Sim",'Extração'!J:J,A562)/B562)</f>
        <v/>
      </c>
      <c r="E562" s="12" t="str">
        <f>IF(B562=0,"",COUNTIFS('Extração'!N:N,"Parcialmente",'Extração'!J:J,A562)/B562)</f>
        <v/>
      </c>
      <c r="F562" s="12" t="str">
        <f>IF(B562=0,"",COUNTIFS('Extração'!O:O,"Parcialmente",'Extração'!J:J,A562)/B562)</f>
        <v/>
      </c>
      <c r="G562" s="12" t="str">
        <f>IF(B562=0,"",COUNTIFS('Extração'!N:N,"Não",'Extração'!J:J,A562)/B562)</f>
        <v/>
      </c>
      <c r="H562" s="12" t="str">
        <f>IF(B562=0,"",COUNTIFS('Extração'!O:O,"Não",'Extração'!J:J,A562)/B562)</f>
        <v/>
      </c>
      <c r="I562" s="12" t="str">
        <f>IF(B562=0,"",COUNTIFS('Extração'!P:P,"Igual",'Extração'!J:J,A562)/B562)</f>
        <v/>
      </c>
    </row>
    <row r="563">
      <c r="B563" s="12">
        <f>COUNTIF('Extração'!J:J,A563)</f>
        <v>0</v>
      </c>
      <c r="C563" s="12" t="str">
        <f>IF(B563=0,"",COUNTIFS('Extração'!N:N,"Sim",'Extração'!J:J,A563)/B563)</f>
        <v/>
      </c>
      <c r="D563" s="12" t="str">
        <f>IF(B563=0,"",COUNTIFS('Extração'!O:O,"Sim",'Extração'!J:J,A563)/B563)</f>
        <v/>
      </c>
      <c r="E563" s="12" t="str">
        <f>IF(B563=0,"",COUNTIFS('Extração'!N:N,"Parcialmente",'Extração'!J:J,A563)/B563)</f>
        <v/>
      </c>
      <c r="F563" s="12" t="str">
        <f>IF(B563=0,"",COUNTIFS('Extração'!O:O,"Parcialmente",'Extração'!J:J,A563)/B563)</f>
        <v/>
      </c>
      <c r="G563" s="12" t="str">
        <f>IF(B563=0,"",COUNTIFS('Extração'!N:N,"Não",'Extração'!J:J,A563)/B563)</f>
        <v/>
      </c>
      <c r="H563" s="12" t="str">
        <f>IF(B563=0,"",COUNTIFS('Extração'!O:O,"Não",'Extração'!J:J,A563)/B563)</f>
        <v/>
      </c>
      <c r="I563" s="12" t="str">
        <f>IF(B563=0,"",COUNTIFS('Extração'!P:P,"Igual",'Extração'!J:J,A563)/B563)</f>
        <v/>
      </c>
    </row>
    <row r="564">
      <c r="B564" s="12">
        <f>COUNTIF('Extração'!J:J,A564)</f>
        <v>0</v>
      </c>
      <c r="C564" s="12" t="str">
        <f>IF(B564=0,"",COUNTIFS('Extração'!N:N,"Sim",'Extração'!J:J,A564)/B564)</f>
        <v/>
      </c>
      <c r="D564" s="12" t="str">
        <f>IF(B564=0,"",COUNTIFS('Extração'!O:O,"Sim",'Extração'!J:J,A564)/B564)</f>
        <v/>
      </c>
      <c r="E564" s="12" t="str">
        <f>IF(B564=0,"",COUNTIFS('Extração'!N:N,"Parcialmente",'Extração'!J:J,A564)/B564)</f>
        <v/>
      </c>
      <c r="F564" s="12" t="str">
        <f>IF(B564=0,"",COUNTIFS('Extração'!O:O,"Parcialmente",'Extração'!J:J,A564)/B564)</f>
        <v/>
      </c>
      <c r="G564" s="12" t="str">
        <f>IF(B564=0,"",COUNTIFS('Extração'!N:N,"Não",'Extração'!J:J,A564)/B564)</f>
        <v/>
      </c>
      <c r="H564" s="12" t="str">
        <f>IF(B564=0,"",COUNTIFS('Extração'!O:O,"Não",'Extração'!J:J,A564)/B564)</f>
        <v/>
      </c>
      <c r="I564" s="12" t="str">
        <f>IF(B564=0,"",COUNTIFS('Extração'!P:P,"Igual",'Extração'!J:J,A564)/B564)</f>
        <v/>
      </c>
    </row>
    <row r="565">
      <c r="B565" s="12">
        <f>COUNTIF('Extração'!J:J,A565)</f>
        <v>0</v>
      </c>
      <c r="C565" s="12" t="str">
        <f>IF(B565=0,"",COUNTIFS('Extração'!N:N,"Sim",'Extração'!J:J,A565)/B565)</f>
        <v/>
      </c>
      <c r="D565" s="12" t="str">
        <f>IF(B565=0,"",COUNTIFS('Extração'!O:O,"Sim",'Extração'!J:J,A565)/B565)</f>
        <v/>
      </c>
      <c r="E565" s="12" t="str">
        <f>IF(B565=0,"",COUNTIFS('Extração'!N:N,"Parcialmente",'Extração'!J:J,A565)/B565)</f>
        <v/>
      </c>
      <c r="F565" s="12" t="str">
        <f>IF(B565=0,"",COUNTIFS('Extração'!O:O,"Parcialmente",'Extração'!J:J,A565)/B565)</f>
        <v/>
      </c>
      <c r="G565" s="12" t="str">
        <f>IF(B565=0,"",COUNTIFS('Extração'!N:N,"Não",'Extração'!J:J,A565)/B565)</f>
        <v/>
      </c>
      <c r="H565" s="12" t="str">
        <f>IF(B565=0,"",COUNTIFS('Extração'!O:O,"Não",'Extração'!J:J,A565)/B565)</f>
        <v/>
      </c>
      <c r="I565" s="12" t="str">
        <f>IF(B565=0,"",COUNTIFS('Extração'!P:P,"Igual",'Extração'!J:J,A565)/B565)</f>
        <v/>
      </c>
    </row>
    <row r="566">
      <c r="B566" s="12">
        <f>COUNTIF('Extração'!J:J,A566)</f>
        <v>0</v>
      </c>
      <c r="C566" s="12" t="str">
        <f>IF(B566=0,"",COUNTIFS('Extração'!N:N,"Sim",'Extração'!J:J,A566)/B566)</f>
        <v/>
      </c>
      <c r="D566" s="12" t="str">
        <f>IF(B566=0,"",COUNTIFS('Extração'!O:O,"Sim",'Extração'!J:J,A566)/B566)</f>
        <v/>
      </c>
      <c r="E566" s="12" t="str">
        <f>IF(B566=0,"",COUNTIFS('Extração'!N:N,"Parcialmente",'Extração'!J:J,A566)/B566)</f>
        <v/>
      </c>
      <c r="F566" s="12" t="str">
        <f>IF(B566=0,"",COUNTIFS('Extração'!O:O,"Parcialmente",'Extração'!J:J,A566)/B566)</f>
        <v/>
      </c>
      <c r="G566" s="12" t="str">
        <f>IF(B566=0,"",COUNTIFS('Extração'!N:N,"Não",'Extração'!J:J,A566)/B566)</f>
        <v/>
      </c>
      <c r="H566" s="12" t="str">
        <f>IF(B566=0,"",COUNTIFS('Extração'!O:O,"Não",'Extração'!J:J,A566)/B566)</f>
        <v/>
      </c>
      <c r="I566" s="12" t="str">
        <f>IF(B566=0,"",COUNTIFS('Extração'!P:P,"Igual",'Extração'!J:J,A566)/B566)</f>
        <v/>
      </c>
    </row>
    <row r="567">
      <c r="B567" s="12">
        <f>COUNTIF('Extração'!J:J,A567)</f>
        <v>0</v>
      </c>
      <c r="C567" s="12" t="str">
        <f>IF(B567=0,"",COUNTIFS('Extração'!N:N,"Sim",'Extração'!J:J,A567)/B567)</f>
        <v/>
      </c>
      <c r="D567" s="12" t="str">
        <f>IF(B567=0,"",COUNTIFS('Extração'!O:O,"Sim",'Extração'!J:J,A567)/B567)</f>
        <v/>
      </c>
      <c r="E567" s="12" t="str">
        <f>IF(B567=0,"",COUNTIFS('Extração'!N:N,"Parcialmente",'Extração'!J:J,A567)/B567)</f>
        <v/>
      </c>
      <c r="F567" s="12" t="str">
        <f>IF(B567=0,"",COUNTIFS('Extração'!O:O,"Parcialmente",'Extração'!J:J,A567)/B567)</f>
        <v/>
      </c>
      <c r="G567" s="12" t="str">
        <f>IF(B567=0,"",COUNTIFS('Extração'!N:N,"Não",'Extração'!J:J,A567)/B567)</f>
        <v/>
      </c>
      <c r="H567" s="12" t="str">
        <f>IF(B567=0,"",COUNTIFS('Extração'!O:O,"Não",'Extração'!J:J,A567)/B567)</f>
        <v/>
      </c>
      <c r="I567" s="12" t="str">
        <f>IF(B567=0,"",COUNTIFS('Extração'!P:P,"Igual",'Extração'!J:J,A567)/B567)</f>
        <v/>
      </c>
    </row>
    <row r="568">
      <c r="B568" s="12">
        <f>COUNTIF('Extração'!J:J,A568)</f>
        <v>0</v>
      </c>
      <c r="C568" s="12" t="str">
        <f>IF(B568=0,"",COUNTIFS('Extração'!N:N,"Sim",'Extração'!J:J,A568)/B568)</f>
        <v/>
      </c>
      <c r="D568" s="12" t="str">
        <f>IF(B568=0,"",COUNTIFS('Extração'!O:O,"Sim",'Extração'!J:J,A568)/B568)</f>
        <v/>
      </c>
      <c r="E568" s="12" t="str">
        <f>IF(B568=0,"",COUNTIFS('Extração'!N:N,"Parcialmente",'Extração'!J:J,A568)/B568)</f>
        <v/>
      </c>
      <c r="F568" s="12" t="str">
        <f>IF(B568=0,"",COUNTIFS('Extração'!O:O,"Parcialmente",'Extração'!J:J,A568)/B568)</f>
        <v/>
      </c>
      <c r="G568" s="12" t="str">
        <f>IF(B568=0,"",COUNTIFS('Extração'!N:N,"Não",'Extração'!J:J,A568)/B568)</f>
        <v/>
      </c>
      <c r="H568" s="12" t="str">
        <f>IF(B568=0,"",COUNTIFS('Extração'!O:O,"Não",'Extração'!J:J,A568)/B568)</f>
        <v/>
      </c>
      <c r="I568" s="12" t="str">
        <f>IF(B568=0,"",COUNTIFS('Extração'!P:P,"Igual",'Extração'!J:J,A568)/B568)</f>
        <v/>
      </c>
    </row>
    <row r="569">
      <c r="B569" s="12">
        <f>COUNTIF('Extração'!J:J,A569)</f>
        <v>0</v>
      </c>
      <c r="C569" s="12" t="str">
        <f>IF(B569=0,"",COUNTIFS('Extração'!N:N,"Sim",'Extração'!J:J,A569)/B569)</f>
        <v/>
      </c>
      <c r="D569" s="12" t="str">
        <f>IF(B569=0,"",COUNTIFS('Extração'!O:O,"Sim",'Extração'!J:J,A569)/B569)</f>
        <v/>
      </c>
      <c r="E569" s="12" t="str">
        <f>IF(B569=0,"",COUNTIFS('Extração'!N:N,"Parcialmente",'Extração'!J:J,A569)/B569)</f>
        <v/>
      </c>
      <c r="F569" s="12" t="str">
        <f>IF(B569=0,"",COUNTIFS('Extração'!O:O,"Parcialmente",'Extração'!J:J,A569)/B569)</f>
        <v/>
      </c>
      <c r="G569" s="12" t="str">
        <f>IF(B569=0,"",COUNTIFS('Extração'!N:N,"Não",'Extração'!J:J,A569)/B569)</f>
        <v/>
      </c>
      <c r="H569" s="12" t="str">
        <f>IF(B569=0,"",COUNTIFS('Extração'!O:O,"Não",'Extração'!J:J,A569)/B569)</f>
        <v/>
      </c>
      <c r="I569" s="12" t="str">
        <f>IF(B569=0,"",COUNTIFS('Extração'!P:P,"Igual",'Extração'!J:J,A569)/B569)</f>
        <v/>
      </c>
    </row>
    <row r="570">
      <c r="B570" s="12">
        <f>COUNTIF('Extração'!J:J,A570)</f>
        <v>0</v>
      </c>
      <c r="C570" s="12" t="str">
        <f>IF(B570=0,"",COUNTIFS('Extração'!N:N,"Sim",'Extração'!J:J,A570)/B570)</f>
        <v/>
      </c>
      <c r="D570" s="12" t="str">
        <f>IF(B570=0,"",COUNTIFS('Extração'!O:O,"Sim",'Extração'!J:J,A570)/B570)</f>
        <v/>
      </c>
      <c r="E570" s="12" t="str">
        <f>IF(B570=0,"",COUNTIFS('Extração'!N:N,"Parcialmente",'Extração'!J:J,A570)/B570)</f>
        <v/>
      </c>
      <c r="F570" s="12" t="str">
        <f>IF(B570=0,"",COUNTIFS('Extração'!O:O,"Parcialmente",'Extração'!J:J,A570)/B570)</f>
        <v/>
      </c>
      <c r="G570" s="12" t="str">
        <f>IF(B570=0,"",COUNTIFS('Extração'!N:N,"Não",'Extração'!J:J,A570)/B570)</f>
        <v/>
      </c>
      <c r="H570" s="12" t="str">
        <f>IF(B570=0,"",COUNTIFS('Extração'!O:O,"Não",'Extração'!J:J,A570)/B570)</f>
        <v/>
      </c>
      <c r="I570" s="12" t="str">
        <f>IF(B570=0,"",COUNTIFS('Extração'!P:P,"Igual",'Extração'!J:J,A570)/B570)</f>
        <v/>
      </c>
    </row>
    <row r="571">
      <c r="B571" s="12">
        <f>COUNTIF('Extração'!J:J,A571)</f>
        <v>0</v>
      </c>
      <c r="C571" s="12" t="str">
        <f>IF(B571=0,"",COUNTIFS('Extração'!N:N,"Sim",'Extração'!J:J,A571)/B571)</f>
        <v/>
      </c>
      <c r="D571" s="12" t="str">
        <f>IF(B571=0,"",COUNTIFS('Extração'!O:O,"Sim",'Extração'!J:J,A571)/B571)</f>
        <v/>
      </c>
      <c r="E571" s="12" t="str">
        <f>IF(B571=0,"",COUNTIFS('Extração'!N:N,"Parcialmente",'Extração'!J:J,A571)/B571)</f>
        <v/>
      </c>
      <c r="F571" s="12" t="str">
        <f>IF(B571=0,"",COUNTIFS('Extração'!O:O,"Parcialmente",'Extração'!J:J,A571)/B571)</f>
        <v/>
      </c>
      <c r="G571" s="12" t="str">
        <f>IF(B571=0,"",COUNTIFS('Extração'!N:N,"Não",'Extração'!J:J,A571)/B571)</f>
        <v/>
      </c>
      <c r="H571" s="12" t="str">
        <f>IF(B571=0,"",COUNTIFS('Extração'!O:O,"Não",'Extração'!J:J,A571)/B571)</f>
        <v/>
      </c>
      <c r="I571" s="12" t="str">
        <f>IF(B571=0,"",COUNTIFS('Extração'!P:P,"Igual",'Extração'!J:J,A571)/B571)</f>
        <v/>
      </c>
    </row>
    <row r="572">
      <c r="B572" s="12">
        <f>COUNTIF('Extração'!J:J,A572)</f>
        <v>0</v>
      </c>
      <c r="C572" s="12" t="str">
        <f>IF(B572=0,"",COUNTIFS('Extração'!N:N,"Sim",'Extração'!J:J,A572)/B572)</f>
        <v/>
      </c>
      <c r="D572" s="12" t="str">
        <f>IF(B572=0,"",COUNTIFS('Extração'!O:O,"Sim",'Extração'!J:J,A572)/B572)</f>
        <v/>
      </c>
      <c r="E572" s="12" t="str">
        <f>IF(B572=0,"",COUNTIFS('Extração'!N:N,"Parcialmente",'Extração'!J:J,A572)/B572)</f>
        <v/>
      </c>
      <c r="F572" s="12" t="str">
        <f>IF(B572=0,"",COUNTIFS('Extração'!O:O,"Parcialmente",'Extração'!J:J,A572)/B572)</f>
        <v/>
      </c>
      <c r="G572" s="12" t="str">
        <f>IF(B572=0,"",COUNTIFS('Extração'!N:N,"Não",'Extração'!J:J,A572)/B572)</f>
        <v/>
      </c>
      <c r="H572" s="12" t="str">
        <f>IF(B572=0,"",COUNTIFS('Extração'!O:O,"Não",'Extração'!J:J,A572)/B572)</f>
        <v/>
      </c>
      <c r="I572" s="12" t="str">
        <f>IF(B572=0,"",COUNTIFS('Extração'!P:P,"Igual",'Extração'!J:J,A572)/B572)</f>
        <v/>
      </c>
    </row>
    <row r="573">
      <c r="B573" s="12">
        <f>COUNTIF('Extração'!J:J,A573)</f>
        <v>0</v>
      </c>
      <c r="C573" s="12" t="str">
        <f>IF(B573=0,"",COUNTIFS('Extração'!N:N,"Sim",'Extração'!J:J,A573)/B573)</f>
        <v/>
      </c>
      <c r="D573" s="12" t="str">
        <f>IF(B573=0,"",COUNTIFS('Extração'!O:O,"Sim",'Extração'!J:J,A573)/B573)</f>
        <v/>
      </c>
      <c r="E573" s="12" t="str">
        <f>IF(B573=0,"",COUNTIFS('Extração'!N:N,"Parcialmente",'Extração'!J:J,A573)/B573)</f>
        <v/>
      </c>
      <c r="F573" s="12" t="str">
        <f>IF(B573=0,"",COUNTIFS('Extração'!O:O,"Parcialmente",'Extração'!J:J,A573)/B573)</f>
        <v/>
      </c>
      <c r="G573" s="12" t="str">
        <f>IF(B573=0,"",COUNTIFS('Extração'!N:N,"Não",'Extração'!J:J,A573)/B573)</f>
        <v/>
      </c>
      <c r="H573" s="12" t="str">
        <f>IF(B573=0,"",COUNTIFS('Extração'!O:O,"Não",'Extração'!J:J,A573)/B573)</f>
        <v/>
      </c>
      <c r="I573" s="12" t="str">
        <f>IF(B573=0,"",COUNTIFS('Extração'!P:P,"Igual",'Extração'!J:J,A573)/B573)</f>
        <v/>
      </c>
    </row>
    <row r="574">
      <c r="B574" s="12">
        <f>COUNTIF('Extração'!J:J,A574)</f>
        <v>0</v>
      </c>
      <c r="C574" s="12" t="str">
        <f>IF(B574=0,"",COUNTIFS('Extração'!N:N,"Sim",'Extração'!J:J,A574)/B574)</f>
        <v/>
      </c>
      <c r="D574" s="12" t="str">
        <f>IF(B574=0,"",COUNTIFS('Extração'!O:O,"Sim",'Extração'!J:J,A574)/B574)</f>
        <v/>
      </c>
      <c r="E574" s="12" t="str">
        <f>IF(B574=0,"",COUNTIFS('Extração'!N:N,"Parcialmente",'Extração'!J:J,A574)/B574)</f>
        <v/>
      </c>
      <c r="F574" s="12" t="str">
        <f>IF(B574=0,"",COUNTIFS('Extração'!O:O,"Parcialmente",'Extração'!J:J,A574)/B574)</f>
        <v/>
      </c>
      <c r="G574" s="12" t="str">
        <f>IF(B574=0,"",COUNTIFS('Extração'!N:N,"Não",'Extração'!J:J,A574)/B574)</f>
        <v/>
      </c>
      <c r="H574" s="12" t="str">
        <f>IF(B574=0,"",COUNTIFS('Extração'!O:O,"Não",'Extração'!J:J,A574)/B574)</f>
        <v/>
      </c>
      <c r="I574" s="12" t="str">
        <f>IF(B574=0,"",COUNTIFS('Extração'!P:P,"Igual",'Extração'!J:J,A574)/B574)</f>
        <v/>
      </c>
    </row>
    <row r="575">
      <c r="B575" s="12">
        <f>COUNTIF('Extração'!J:J,A575)</f>
        <v>0</v>
      </c>
      <c r="C575" s="12" t="str">
        <f>IF(B575=0,"",COUNTIFS('Extração'!N:N,"Sim",'Extração'!J:J,A575)/B575)</f>
        <v/>
      </c>
      <c r="D575" s="12" t="str">
        <f>IF(B575=0,"",COUNTIFS('Extração'!O:O,"Sim",'Extração'!J:J,A575)/B575)</f>
        <v/>
      </c>
      <c r="E575" s="12" t="str">
        <f>IF(B575=0,"",COUNTIFS('Extração'!N:N,"Parcialmente",'Extração'!J:J,A575)/B575)</f>
        <v/>
      </c>
      <c r="F575" s="12" t="str">
        <f>IF(B575=0,"",COUNTIFS('Extração'!O:O,"Parcialmente",'Extração'!J:J,A575)/B575)</f>
        <v/>
      </c>
      <c r="G575" s="12" t="str">
        <f>IF(B575=0,"",COUNTIFS('Extração'!N:N,"Não",'Extração'!J:J,A575)/B575)</f>
        <v/>
      </c>
      <c r="H575" s="12" t="str">
        <f>IF(B575=0,"",COUNTIFS('Extração'!O:O,"Não",'Extração'!J:J,A575)/B575)</f>
        <v/>
      </c>
      <c r="I575" s="12" t="str">
        <f>IF(B575=0,"",COUNTIFS('Extração'!P:P,"Igual",'Extração'!J:J,A575)/B575)</f>
        <v/>
      </c>
    </row>
    <row r="576">
      <c r="B576" s="12">
        <f>COUNTIF('Extração'!J:J,A576)</f>
        <v>0</v>
      </c>
      <c r="C576" s="12" t="str">
        <f>IF(B576=0,"",COUNTIFS('Extração'!N:N,"Sim",'Extração'!J:J,A576)/B576)</f>
        <v/>
      </c>
      <c r="D576" s="12" t="str">
        <f>IF(B576=0,"",COUNTIFS('Extração'!O:O,"Sim",'Extração'!J:J,A576)/B576)</f>
        <v/>
      </c>
      <c r="E576" s="12" t="str">
        <f>IF(B576=0,"",COUNTIFS('Extração'!N:N,"Parcialmente",'Extração'!J:J,A576)/B576)</f>
        <v/>
      </c>
      <c r="F576" s="12" t="str">
        <f>IF(B576=0,"",COUNTIFS('Extração'!O:O,"Parcialmente",'Extração'!J:J,A576)/B576)</f>
        <v/>
      </c>
      <c r="G576" s="12" t="str">
        <f>IF(B576=0,"",COUNTIFS('Extração'!N:N,"Não",'Extração'!J:J,A576)/B576)</f>
        <v/>
      </c>
      <c r="H576" s="12" t="str">
        <f>IF(B576=0,"",COUNTIFS('Extração'!O:O,"Não",'Extração'!J:J,A576)/B576)</f>
        <v/>
      </c>
      <c r="I576" s="12" t="str">
        <f>IF(B576=0,"",COUNTIFS('Extração'!P:P,"Igual",'Extração'!J:J,A576)/B576)</f>
        <v/>
      </c>
    </row>
    <row r="577">
      <c r="B577" s="12">
        <f>COUNTIF('Extração'!J:J,A577)</f>
        <v>0</v>
      </c>
      <c r="C577" s="12" t="str">
        <f>IF(B577=0,"",COUNTIFS('Extração'!N:N,"Sim",'Extração'!J:J,A577)/B577)</f>
        <v/>
      </c>
      <c r="D577" s="12" t="str">
        <f>IF(B577=0,"",COUNTIFS('Extração'!O:O,"Sim",'Extração'!J:J,A577)/B577)</f>
        <v/>
      </c>
      <c r="E577" s="12" t="str">
        <f>IF(B577=0,"",COUNTIFS('Extração'!N:N,"Parcialmente",'Extração'!J:J,A577)/B577)</f>
        <v/>
      </c>
      <c r="F577" s="12" t="str">
        <f>IF(B577=0,"",COUNTIFS('Extração'!O:O,"Parcialmente",'Extração'!J:J,A577)/B577)</f>
        <v/>
      </c>
      <c r="G577" s="12" t="str">
        <f>IF(B577=0,"",COUNTIFS('Extração'!N:N,"Não",'Extração'!J:J,A577)/B577)</f>
        <v/>
      </c>
      <c r="H577" s="12" t="str">
        <f>IF(B577=0,"",COUNTIFS('Extração'!O:O,"Não",'Extração'!J:J,A577)/B577)</f>
        <v/>
      </c>
      <c r="I577" s="12" t="str">
        <f>IF(B577=0,"",COUNTIFS('Extração'!P:P,"Igual",'Extração'!J:J,A577)/B577)</f>
        <v/>
      </c>
    </row>
    <row r="578">
      <c r="B578" s="12">
        <f>COUNTIF('Extração'!J:J,A578)</f>
        <v>0</v>
      </c>
      <c r="C578" s="12" t="str">
        <f>IF(B578=0,"",COUNTIFS('Extração'!N:N,"Sim",'Extração'!J:J,A578)/B578)</f>
        <v/>
      </c>
      <c r="D578" s="12" t="str">
        <f>IF(B578=0,"",COUNTIFS('Extração'!O:O,"Sim",'Extração'!J:J,A578)/B578)</f>
        <v/>
      </c>
      <c r="E578" s="12" t="str">
        <f>IF(B578=0,"",COUNTIFS('Extração'!N:N,"Parcialmente",'Extração'!J:J,A578)/B578)</f>
        <v/>
      </c>
      <c r="F578" s="12" t="str">
        <f>IF(B578=0,"",COUNTIFS('Extração'!O:O,"Parcialmente",'Extração'!J:J,A578)/B578)</f>
        <v/>
      </c>
      <c r="G578" s="12" t="str">
        <f>IF(B578=0,"",COUNTIFS('Extração'!N:N,"Não",'Extração'!J:J,A578)/B578)</f>
        <v/>
      </c>
      <c r="H578" s="12" t="str">
        <f>IF(B578=0,"",COUNTIFS('Extração'!O:O,"Não",'Extração'!J:J,A578)/B578)</f>
        <v/>
      </c>
      <c r="I578" s="12" t="str">
        <f>IF(B578=0,"",COUNTIFS('Extração'!P:P,"Igual",'Extração'!J:J,A578)/B578)</f>
        <v/>
      </c>
    </row>
    <row r="579">
      <c r="B579" s="12">
        <f>COUNTIF('Extração'!J:J,A579)</f>
        <v>0</v>
      </c>
      <c r="C579" s="12" t="str">
        <f>IF(B579=0,"",COUNTIFS('Extração'!N:N,"Sim",'Extração'!J:J,A579)/B579)</f>
        <v/>
      </c>
      <c r="D579" s="12" t="str">
        <f>IF(B579=0,"",COUNTIFS('Extração'!O:O,"Sim",'Extração'!J:J,A579)/B579)</f>
        <v/>
      </c>
      <c r="E579" s="12" t="str">
        <f>IF(B579=0,"",COUNTIFS('Extração'!N:N,"Parcialmente",'Extração'!J:J,A579)/B579)</f>
        <v/>
      </c>
      <c r="F579" s="12" t="str">
        <f>IF(B579=0,"",COUNTIFS('Extração'!O:O,"Parcialmente",'Extração'!J:J,A579)/B579)</f>
        <v/>
      </c>
      <c r="G579" s="12" t="str">
        <f>IF(B579=0,"",COUNTIFS('Extração'!N:N,"Não",'Extração'!J:J,A579)/B579)</f>
        <v/>
      </c>
      <c r="H579" s="12" t="str">
        <f>IF(B579=0,"",COUNTIFS('Extração'!O:O,"Não",'Extração'!J:J,A579)/B579)</f>
        <v/>
      </c>
      <c r="I579" s="12" t="str">
        <f>IF(B579=0,"",COUNTIFS('Extração'!P:P,"Igual",'Extração'!J:J,A579)/B579)</f>
        <v/>
      </c>
    </row>
    <row r="580">
      <c r="B580" s="12">
        <f>COUNTIF('Extração'!J:J,A580)</f>
        <v>0</v>
      </c>
      <c r="C580" s="12" t="str">
        <f>IF(B580=0,"",COUNTIFS('Extração'!N:N,"Sim",'Extração'!J:J,A580)/B580)</f>
        <v/>
      </c>
      <c r="D580" s="12" t="str">
        <f>IF(B580=0,"",COUNTIFS('Extração'!O:O,"Sim",'Extração'!J:J,A580)/B580)</f>
        <v/>
      </c>
      <c r="E580" s="12" t="str">
        <f>IF(B580=0,"",COUNTIFS('Extração'!N:N,"Parcialmente",'Extração'!J:J,A580)/B580)</f>
        <v/>
      </c>
      <c r="F580" s="12" t="str">
        <f>IF(B580=0,"",COUNTIFS('Extração'!O:O,"Parcialmente",'Extração'!J:J,A580)/B580)</f>
        <v/>
      </c>
      <c r="G580" s="12" t="str">
        <f>IF(B580=0,"",COUNTIFS('Extração'!N:N,"Não",'Extração'!J:J,A580)/B580)</f>
        <v/>
      </c>
      <c r="H580" s="12" t="str">
        <f>IF(B580=0,"",COUNTIFS('Extração'!O:O,"Não",'Extração'!J:J,A580)/B580)</f>
        <v/>
      </c>
      <c r="I580" s="12" t="str">
        <f>IF(B580=0,"",COUNTIFS('Extração'!P:P,"Igual",'Extração'!J:J,A580)/B580)</f>
        <v/>
      </c>
    </row>
    <row r="581">
      <c r="B581" s="12">
        <f>COUNTIF('Extração'!J:J,A581)</f>
        <v>0</v>
      </c>
      <c r="C581" s="12" t="str">
        <f>IF(B581=0,"",COUNTIFS('Extração'!N:N,"Sim",'Extração'!J:J,A581)/B581)</f>
        <v/>
      </c>
      <c r="D581" s="12" t="str">
        <f>IF(B581=0,"",COUNTIFS('Extração'!O:O,"Sim",'Extração'!J:J,A581)/B581)</f>
        <v/>
      </c>
      <c r="E581" s="12" t="str">
        <f>IF(B581=0,"",COUNTIFS('Extração'!N:N,"Parcialmente",'Extração'!J:J,A581)/B581)</f>
        <v/>
      </c>
      <c r="F581" s="12" t="str">
        <f>IF(B581=0,"",COUNTIFS('Extração'!O:O,"Parcialmente",'Extração'!J:J,A581)/B581)</f>
        <v/>
      </c>
      <c r="G581" s="12" t="str">
        <f>IF(B581=0,"",COUNTIFS('Extração'!N:N,"Não",'Extração'!J:J,A581)/B581)</f>
        <v/>
      </c>
      <c r="H581" s="12" t="str">
        <f>IF(B581=0,"",COUNTIFS('Extração'!O:O,"Não",'Extração'!J:J,A581)/B581)</f>
        <v/>
      </c>
      <c r="I581" s="12" t="str">
        <f>IF(B581=0,"",COUNTIFS('Extração'!P:P,"Igual",'Extração'!J:J,A581)/B581)</f>
        <v/>
      </c>
    </row>
    <row r="582">
      <c r="B582" s="12">
        <f>COUNTIF('Extração'!J:J,A582)</f>
        <v>0</v>
      </c>
      <c r="C582" s="12" t="str">
        <f>IF(B582=0,"",COUNTIFS('Extração'!N:N,"Sim",'Extração'!J:J,A582)/B582)</f>
        <v/>
      </c>
      <c r="D582" s="12" t="str">
        <f>IF(B582=0,"",COUNTIFS('Extração'!O:O,"Sim",'Extração'!J:J,A582)/B582)</f>
        <v/>
      </c>
      <c r="E582" s="12" t="str">
        <f>IF(B582=0,"",COUNTIFS('Extração'!N:N,"Parcialmente",'Extração'!J:J,A582)/B582)</f>
        <v/>
      </c>
      <c r="F582" s="12" t="str">
        <f>IF(B582=0,"",COUNTIFS('Extração'!O:O,"Parcialmente",'Extração'!J:J,A582)/B582)</f>
        <v/>
      </c>
      <c r="G582" s="12" t="str">
        <f>IF(B582=0,"",COUNTIFS('Extração'!N:N,"Não",'Extração'!J:J,A582)/B582)</f>
        <v/>
      </c>
      <c r="H582" s="12" t="str">
        <f>IF(B582=0,"",COUNTIFS('Extração'!O:O,"Não",'Extração'!J:J,A582)/B582)</f>
        <v/>
      </c>
      <c r="I582" s="12" t="str">
        <f>IF(B582=0,"",COUNTIFS('Extração'!P:P,"Igual",'Extração'!J:J,A582)/B582)</f>
        <v/>
      </c>
    </row>
    <row r="583">
      <c r="B583" s="12">
        <f>COUNTIF('Extração'!J:J,A583)</f>
        <v>0</v>
      </c>
      <c r="C583" s="12" t="str">
        <f>IF(B583=0,"",COUNTIFS('Extração'!N:N,"Sim",'Extração'!J:J,A583)/B583)</f>
        <v/>
      </c>
      <c r="D583" s="12" t="str">
        <f>IF(B583=0,"",COUNTIFS('Extração'!O:O,"Sim",'Extração'!J:J,A583)/B583)</f>
        <v/>
      </c>
      <c r="E583" s="12" t="str">
        <f>IF(B583=0,"",COUNTIFS('Extração'!N:N,"Parcialmente",'Extração'!J:J,A583)/B583)</f>
        <v/>
      </c>
      <c r="F583" s="12" t="str">
        <f>IF(B583=0,"",COUNTIFS('Extração'!O:O,"Parcialmente",'Extração'!J:J,A583)/B583)</f>
        <v/>
      </c>
      <c r="G583" s="12" t="str">
        <f>IF(B583=0,"",COUNTIFS('Extração'!N:N,"Não",'Extração'!J:J,A583)/B583)</f>
        <v/>
      </c>
      <c r="H583" s="12" t="str">
        <f>IF(B583=0,"",COUNTIFS('Extração'!O:O,"Não",'Extração'!J:J,A583)/B583)</f>
        <v/>
      </c>
      <c r="I583" s="12" t="str">
        <f>IF(B583=0,"",COUNTIFS('Extração'!P:P,"Igual",'Extração'!J:J,A583)/B583)</f>
        <v/>
      </c>
    </row>
    <row r="584">
      <c r="B584" s="12">
        <f>COUNTIF('Extração'!J:J,A584)</f>
        <v>0</v>
      </c>
      <c r="C584" s="12" t="str">
        <f>IF(B584=0,"",COUNTIFS('Extração'!N:N,"Sim",'Extração'!J:J,A584)/B584)</f>
        <v/>
      </c>
      <c r="D584" s="12" t="str">
        <f>IF(B584=0,"",COUNTIFS('Extração'!O:O,"Sim",'Extração'!J:J,A584)/B584)</f>
        <v/>
      </c>
      <c r="E584" s="12" t="str">
        <f>IF(B584=0,"",COUNTIFS('Extração'!N:N,"Parcialmente",'Extração'!J:J,A584)/B584)</f>
        <v/>
      </c>
      <c r="F584" s="12" t="str">
        <f>IF(B584=0,"",COUNTIFS('Extração'!O:O,"Parcialmente",'Extração'!J:J,A584)/B584)</f>
        <v/>
      </c>
      <c r="G584" s="12" t="str">
        <f>IF(B584=0,"",COUNTIFS('Extração'!N:N,"Não",'Extração'!J:J,A584)/B584)</f>
        <v/>
      </c>
      <c r="H584" s="12" t="str">
        <f>IF(B584=0,"",COUNTIFS('Extração'!O:O,"Não",'Extração'!J:J,A584)/B584)</f>
        <v/>
      </c>
      <c r="I584" s="12" t="str">
        <f>IF(B584=0,"",COUNTIFS('Extração'!P:P,"Igual",'Extração'!J:J,A584)/B584)</f>
        <v/>
      </c>
    </row>
    <row r="585">
      <c r="B585" s="12">
        <f>COUNTIF('Extração'!J:J,A585)</f>
        <v>0</v>
      </c>
      <c r="C585" s="12" t="str">
        <f>IF(B585=0,"",COUNTIFS('Extração'!N:N,"Sim",'Extração'!J:J,A585)/B585)</f>
        <v/>
      </c>
      <c r="D585" s="12" t="str">
        <f>IF(B585=0,"",COUNTIFS('Extração'!O:O,"Sim",'Extração'!J:J,A585)/B585)</f>
        <v/>
      </c>
      <c r="E585" s="12" t="str">
        <f>IF(B585=0,"",COUNTIFS('Extração'!N:N,"Parcialmente",'Extração'!J:J,A585)/B585)</f>
        <v/>
      </c>
      <c r="F585" s="12" t="str">
        <f>IF(B585=0,"",COUNTIFS('Extração'!O:O,"Parcialmente",'Extração'!J:J,A585)/B585)</f>
        <v/>
      </c>
      <c r="G585" s="12" t="str">
        <f>IF(B585=0,"",COUNTIFS('Extração'!N:N,"Não",'Extração'!J:J,A585)/B585)</f>
        <v/>
      </c>
      <c r="H585" s="12" t="str">
        <f>IF(B585=0,"",COUNTIFS('Extração'!O:O,"Não",'Extração'!J:J,A585)/B585)</f>
        <v/>
      </c>
      <c r="I585" s="12" t="str">
        <f>IF(B585=0,"",COUNTIFS('Extração'!P:P,"Igual",'Extração'!J:J,A585)/B585)</f>
        <v/>
      </c>
    </row>
    <row r="586">
      <c r="B586" s="12">
        <f>COUNTIF('Extração'!J:J,A586)</f>
        <v>0</v>
      </c>
      <c r="C586" s="12" t="str">
        <f>IF(B586=0,"",COUNTIFS('Extração'!N:N,"Sim",'Extração'!J:J,A586)/B586)</f>
        <v/>
      </c>
      <c r="D586" s="12" t="str">
        <f>IF(B586=0,"",COUNTIFS('Extração'!O:O,"Sim",'Extração'!J:J,A586)/B586)</f>
        <v/>
      </c>
      <c r="E586" s="12" t="str">
        <f>IF(B586=0,"",COUNTIFS('Extração'!N:N,"Parcialmente",'Extração'!J:J,A586)/B586)</f>
        <v/>
      </c>
      <c r="F586" s="12" t="str">
        <f>IF(B586=0,"",COUNTIFS('Extração'!O:O,"Parcialmente",'Extração'!J:J,A586)/B586)</f>
        <v/>
      </c>
      <c r="G586" s="12" t="str">
        <f>IF(B586=0,"",COUNTIFS('Extração'!N:N,"Não",'Extração'!J:J,A586)/B586)</f>
        <v/>
      </c>
      <c r="H586" s="12" t="str">
        <f>IF(B586=0,"",COUNTIFS('Extração'!O:O,"Não",'Extração'!J:J,A586)/B586)</f>
        <v/>
      </c>
      <c r="I586" s="12" t="str">
        <f>IF(B586=0,"",COUNTIFS('Extração'!P:P,"Igual",'Extração'!J:J,A586)/B586)</f>
        <v/>
      </c>
    </row>
    <row r="587">
      <c r="B587" s="12">
        <f>COUNTIF('Extração'!J:J,A587)</f>
        <v>0</v>
      </c>
      <c r="C587" s="12" t="str">
        <f>IF(B587=0,"",COUNTIFS('Extração'!N:N,"Sim",'Extração'!J:J,A587)/B587)</f>
        <v/>
      </c>
      <c r="D587" s="12" t="str">
        <f>IF(B587=0,"",COUNTIFS('Extração'!O:O,"Sim",'Extração'!J:J,A587)/B587)</f>
        <v/>
      </c>
      <c r="E587" s="12" t="str">
        <f>IF(B587=0,"",COUNTIFS('Extração'!N:N,"Parcialmente",'Extração'!J:J,A587)/B587)</f>
        <v/>
      </c>
      <c r="F587" s="12" t="str">
        <f>IF(B587=0,"",COUNTIFS('Extração'!O:O,"Parcialmente",'Extração'!J:J,A587)/B587)</f>
        <v/>
      </c>
      <c r="G587" s="12" t="str">
        <f>IF(B587=0,"",COUNTIFS('Extração'!N:N,"Não",'Extração'!J:J,A587)/B587)</f>
        <v/>
      </c>
      <c r="H587" s="12" t="str">
        <f>IF(B587=0,"",COUNTIFS('Extração'!O:O,"Não",'Extração'!J:J,A587)/B587)</f>
        <v/>
      </c>
      <c r="I587" s="12" t="str">
        <f>IF(B587=0,"",COUNTIFS('Extração'!P:P,"Igual",'Extração'!J:J,A587)/B587)</f>
        <v/>
      </c>
    </row>
    <row r="588">
      <c r="B588" s="12">
        <f>COUNTIF('Extração'!J:J,A588)</f>
        <v>0</v>
      </c>
      <c r="C588" s="12" t="str">
        <f>IF(B588=0,"",COUNTIFS('Extração'!N:N,"Sim",'Extração'!J:J,A588)/B588)</f>
        <v/>
      </c>
      <c r="D588" s="12" t="str">
        <f>IF(B588=0,"",COUNTIFS('Extração'!O:O,"Sim",'Extração'!J:J,A588)/B588)</f>
        <v/>
      </c>
      <c r="E588" s="12" t="str">
        <f>IF(B588=0,"",COUNTIFS('Extração'!N:N,"Parcialmente",'Extração'!J:J,A588)/B588)</f>
        <v/>
      </c>
      <c r="F588" s="12" t="str">
        <f>IF(B588=0,"",COUNTIFS('Extração'!O:O,"Parcialmente",'Extração'!J:J,A588)/B588)</f>
        <v/>
      </c>
      <c r="G588" s="12" t="str">
        <f>IF(B588=0,"",COUNTIFS('Extração'!N:N,"Não",'Extração'!J:J,A588)/B588)</f>
        <v/>
      </c>
      <c r="H588" s="12" t="str">
        <f>IF(B588=0,"",COUNTIFS('Extração'!O:O,"Não",'Extração'!J:J,A588)/B588)</f>
        <v/>
      </c>
      <c r="I588" s="12" t="str">
        <f>IF(B588=0,"",COUNTIFS('Extração'!P:P,"Igual",'Extração'!J:J,A588)/B588)</f>
        <v/>
      </c>
    </row>
    <row r="589">
      <c r="B589" s="12">
        <f>COUNTIF('Extração'!J:J,A589)</f>
        <v>0</v>
      </c>
      <c r="C589" s="12" t="str">
        <f>IF(B589=0,"",COUNTIFS('Extração'!N:N,"Sim",'Extração'!J:J,A589)/B589)</f>
        <v/>
      </c>
      <c r="D589" s="12" t="str">
        <f>IF(B589=0,"",COUNTIFS('Extração'!O:O,"Sim",'Extração'!J:J,A589)/B589)</f>
        <v/>
      </c>
      <c r="E589" s="12" t="str">
        <f>IF(B589=0,"",COUNTIFS('Extração'!N:N,"Parcialmente",'Extração'!J:J,A589)/B589)</f>
        <v/>
      </c>
      <c r="F589" s="12" t="str">
        <f>IF(B589=0,"",COUNTIFS('Extração'!O:O,"Parcialmente",'Extração'!J:J,A589)/B589)</f>
        <v/>
      </c>
      <c r="G589" s="12" t="str">
        <f>IF(B589=0,"",COUNTIFS('Extração'!N:N,"Não",'Extração'!J:J,A589)/B589)</f>
        <v/>
      </c>
      <c r="H589" s="12" t="str">
        <f>IF(B589=0,"",COUNTIFS('Extração'!O:O,"Não",'Extração'!J:J,A589)/B589)</f>
        <v/>
      </c>
      <c r="I589" s="12" t="str">
        <f>IF(B589=0,"",COUNTIFS('Extração'!P:P,"Igual",'Extração'!J:J,A589)/B589)</f>
        <v/>
      </c>
    </row>
    <row r="590">
      <c r="B590" s="12">
        <f>COUNTIF('Extração'!J:J,A590)</f>
        <v>0</v>
      </c>
      <c r="C590" s="12" t="str">
        <f>IF(B590=0,"",COUNTIFS('Extração'!N:N,"Sim",'Extração'!J:J,A590)/B590)</f>
        <v/>
      </c>
      <c r="D590" s="12" t="str">
        <f>IF(B590=0,"",COUNTIFS('Extração'!O:O,"Sim",'Extração'!J:J,A590)/B590)</f>
        <v/>
      </c>
      <c r="E590" s="12" t="str">
        <f>IF(B590=0,"",COUNTIFS('Extração'!N:N,"Parcialmente",'Extração'!J:J,A590)/B590)</f>
        <v/>
      </c>
      <c r="F590" s="12" t="str">
        <f>IF(B590=0,"",COUNTIFS('Extração'!O:O,"Parcialmente",'Extração'!J:J,A590)/B590)</f>
        <v/>
      </c>
      <c r="G590" s="12" t="str">
        <f>IF(B590=0,"",COUNTIFS('Extração'!N:N,"Não",'Extração'!J:J,A590)/B590)</f>
        <v/>
      </c>
      <c r="H590" s="12" t="str">
        <f>IF(B590=0,"",COUNTIFS('Extração'!O:O,"Não",'Extração'!J:J,A590)/B590)</f>
        <v/>
      </c>
      <c r="I590" s="12" t="str">
        <f>IF(B590=0,"",COUNTIFS('Extração'!P:P,"Igual",'Extração'!J:J,A590)/B590)</f>
        <v/>
      </c>
    </row>
    <row r="591">
      <c r="B591" s="12">
        <f>COUNTIF('Extração'!J:J,A591)</f>
        <v>0</v>
      </c>
      <c r="C591" s="12" t="str">
        <f>IF(B591=0,"",COUNTIFS('Extração'!N:N,"Sim",'Extração'!J:J,A591)/B591)</f>
        <v/>
      </c>
      <c r="D591" s="12" t="str">
        <f>IF(B591=0,"",COUNTIFS('Extração'!O:O,"Sim",'Extração'!J:J,A591)/B591)</f>
        <v/>
      </c>
      <c r="E591" s="12" t="str">
        <f>IF(B591=0,"",COUNTIFS('Extração'!N:N,"Parcialmente",'Extração'!J:J,A591)/B591)</f>
        <v/>
      </c>
      <c r="F591" s="12" t="str">
        <f>IF(B591=0,"",COUNTIFS('Extração'!O:O,"Parcialmente",'Extração'!J:J,A591)/B591)</f>
        <v/>
      </c>
      <c r="G591" s="12" t="str">
        <f>IF(B591=0,"",COUNTIFS('Extração'!N:N,"Não",'Extração'!J:J,A591)/B591)</f>
        <v/>
      </c>
      <c r="H591" s="12" t="str">
        <f>IF(B591=0,"",COUNTIFS('Extração'!O:O,"Não",'Extração'!J:J,A591)/B591)</f>
        <v/>
      </c>
      <c r="I591" s="12" t="str">
        <f>IF(B591=0,"",COUNTIFS('Extração'!P:P,"Igual",'Extração'!J:J,A591)/B591)</f>
        <v/>
      </c>
    </row>
    <row r="592">
      <c r="B592" s="12">
        <f>COUNTIF('Extração'!J:J,A592)</f>
        <v>0</v>
      </c>
      <c r="C592" s="12" t="str">
        <f>IF(B592=0,"",COUNTIFS('Extração'!N:N,"Sim",'Extração'!J:J,A592)/B592)</f>
        <v/>
      </c>
      <c r="D592" s="12" t="str">
        <f>IF(B592=0,"",COUNTIFS('Extração'!O:O,"Sim",'Extração'!J:J,A592)/B592)</f>
        <v/>
      </c>
      <c r="E592" s="12" t="str">
        <f>IF(B592=0,"",COUNTIFS('Extração'!N:N,"Parcialmente",'Extração'!J:J,A592)/B592)</f>
        <v/>
      </c>
      <c r="F592" s="12" t="str">
        <f>IF(B592=0,"",COUNTIFS('Extração'!O:O,"Parcialmente",'Extração'!J:J,A592)/B592)</f>
        <v/>
      </c>
      <c r="G592" s="12" t="str">
        <f>IF(B592=0,"",COUNTIFS('Extração'!N:N,"Não",'Extração'!J:J,A592)/B592)</f>
        <v/>
      </c>
      <c r="H592" s="12" t="str">
        <f>IF(B592=0,"",COUNTIFS('Extração'!O:O,"Não",'Extração'!J:J,A592)/B592)</f>
        <v/>
      </c>
      <c r="I592" s="12" t="str">
        <f>IF(B592=0,"",COUNTIFS('Extração'!P:P,"Igual",'Extração'!J:J,A592)/B592)</f>
        <v/>
      </c>
    </row>
    <row r="593">
      <c r="B593" s="12">
        <f>COUNTIF('Extração'!J:J,A593)</f>
        <v>0</v>
      </c>
      <c r="C593" s="12" t="str">
        <f>IF(B593=0,"",COUNTIFS('Extração'!N:N,"Sim",'Extração'!J:J,A593)/B593)</f>
        <v/>
      </c>
      <c r="D593" s="12" t="str">
        <f>IF(B593=0,"",COUNTIFS('Extração'!O:O,"Sim",'Extração'!J:J,A593)/B593)</f>
        <v/>
      </c>
      <c r="E593" s="12" t="str">
        <f>IF(B593=0,"",COUNTIFS('Extração'!N:N,"Parcialmente",'Extração'!J:J,A593)/B593)</f>
        <v/>
      </c>
      <c r="F593" s="12" t="str">
        <f>IF(B593=0,"",COUNTIFS('Extração'!O:O,"Parcialmente",'Extração'!J:J,A593)/B593)</f>
        <v/>
      </c>
      <c r="G593" s="12" t="str">
        <f>IF(B593=0,"",COUNTIFS('Extração'!N:N,"Não",'Extração'!J:J,A593)/B593)</f>
        <v/>
      </c>
      <c r="H593" s="12" t="str">
        <f>IF(B593=0,"",COUNTIFS('Extração'!O:O,"Não",'Extração'!J:J,A593)/B593)</f>
        <v/>
      </c>
      <c r="I593" s="12" t="str">
        <f>IF(B593=0,"",COUNTIFS('Extração'!P:P,"Igual",'Extração'!J:J,A593)/B593)</f>
        <v/>
      </c>
    </row>
    <row r="594">
      <c r="B594" s="12">
        <f>COUNTIF('Extração'!J:J,A594)</f>
        <v>0</v>
      </c>
      <c r="C594" s="12" t="str">
        <f>IF(B594=0,"",COUNTIFS('Extração'!N:N,"Sim",'Extração'!J:J,A594)/B594)</f>
        <v/>
      </c>
      <c r="D594" s="12" t="str">
        <f>IF(B594=0,"",COUNTIFS('Extração'!O:O,"Sim",'Extração'!J:J,A594)/B594)</f>
        <v/>
      </c>
      <c r="E594" s="12" t="str">
        <f>IF(B594=0,"",COUNTIFS('Extração'!N:N,"Parcialmente",'Extração'!J:J,A594)/B594)</f>
        <v/>
      </c>
      <c r="F594" s="12" t="str">
        <f>IF(B594=0,"",COUNTIFS('Extração'!O:O,"Parcialmente",'Extração'!J:J,A594)/B594)</f>
        <v/>
      </c>
      <c r="G594" s="12" t="str">
        <f>IF(B594=0,"",COUNTIFS('Extração'!N:N,"Não",'Extração'!J:J,A594)/B594)</f>
        <v/>
      </c>
      <c r="H594" s="12" t="str">
        <f>IF(B594=0,"",COUNTIFS('Extração'!O:O,"Não",'Extração'!J:J,A594)/B594)</f>
        <v/>
      </c>
      <c r="I594" s="12" t="str">
        <f>IF(B594=0,"",COUNTIFS('Extração'!P:P,"Igual",'Extração'!J:J,A594)/B594)</f>
        <v/>
      </c>
    </row>
    <row r="595">
      <c r="B595" s="12">
        <f>COUNTIF('Extração'!J:J,A595)</f>
        <v>0</v>
      </c>
      <c r="C595" s="12" t="str">
        <f>IF(B595=0,"",COUNTIFS('Extração'!N:N,"Sim",'Extração'!J:J,A595)/B595)</f>
        <v/>
      </c>
      <c r="D595" s="12" t="str">
        <f>IF(B595=0,"",COUNTIFS('Extração'!O:O,"Sim",'Extração'!J:J,A595)/B595)</f>
        <v/>
      </c>
      <c r="E595" s="12" t="str">
        <f>IF(B595=0,"",COUNTIFS('Extração'!N:N,"Parcialmente",'Extração'!J:J,A595)/B595)</f>
        <v/>
      </c>
      <c r="F595" s="12" t="str">
        <f>IF(B595=0,"",COUNTIFS('Extração'!O:O,"Parcialmente",'Extração'!J:J,A595)/B595)</f>
        <v/>
      </c>
      <c r="G595" s="12" t="str">
        <f>IF(B595=0,"",COUNTIFS('Extração'!N:N,"Não",'Extração'!J:J,A595)/B595)</f>
        <v/>
      </c>
      <c r="H595" s="12" t="str">
        <f>IF(B595=0,"",COUNTIFS('Extração'!O:O,"Não",'Extração'!J:J,A595)/B595)</f>
        <v/>
      </c>
      <c r="I595" s="12" t="str">
        <f>IF(B595=0,"",COUNTIFS('Extração'!P:P,"Igual",'Extração'!J:J,A595)/B595)</f>
        <v/>
      </c>
    </row>
    <row r="596">
      <c r="B596" s="12">
        <f>COUNTIF('Extração'!J:J,A596)</f>
        <v>0</v>
      </c>
      <c r="C596" s="12" t="str">
        <f>IF(B596=0,"",COUNTIFS('Extração'!N:N,"Sim",'Extração'!J:J,A596)/B596)</f>
        <v/>
      </c>
      <c r="D596" s="12" t="str">
        <f>IF(B596=0,"",COUNTIFS('Extração'!O:O,"Sim",'Extração'!J:J,A596)/B596)</f>
        <v/>
      </c>
      <c r="E596" s="12" t="str">
        <f>IF(B596=0,"",COUNTIFS('Extração'!N:N,"Parcialmente",'Extração'!J:J,A596)/B596)</f>
        <v/>
      </c>
      <c r="F596" s="12" t="str">
        <f>IF(B596=0,"",COUNTIFS('Extração'!O:O,"Parcialmente",'Extração'!J:J,A596)/B596)</f>
        <v/>
      </c>
      <c r="G596" s="12" t="str">
        <f>IF(B596=0,"",COUNTIFS('Extração'!N:N,"Não",'Extração'!J:J,A596)/B596)</f>
        <v/>
      </c>
      <c r="H596" s="12" t="str">
        <f>IF(B596=0,"",COUNTIFS('Extração'!O:O,"Não",'Extração'!J:J,A596)/B596)</f>
        <v/>
      </c>
      <c r="I596" s="12" t="str">
        <f>IF(B596=0,"",COUNTIFS('Extração'!P:P,"Igual",'Extração'!J:J,A596)/B596)</f>
        <v/>
      </c>
    </row>
    <row r="597">
      <c r="B597" s="12">
        <f>COUNTIF('Extração'!J:J,A597)</f>
        <v>0</v>
      </c>
      <c r="C597" s="12" t="str">
        <f>IF(B597=0,"",COUNTIFS('Extração'!N:N,"Sim",'Extração'!J:J,A597)/B597)</f>
        <v/>
      </c>
      <c r="D597" s="12" t="str">
        <f>IF(B597=0,"",COUNTIFS('Extração'!O:O,"Sim",'Extração'!J:J,A597)/B597)</f>
        <v/>
      </c>
      <c r="E597" s="12" t="str">
        <f>IF(B597=0,"",COUNTIFS('Extração'!N:N,"Parcialmente",'Extração'!J:J,A597)/B597)</f>
        <v/>
      </c>
      <c r="F597" s="12" t="str">
        <f>IF(B597=0,"",COUNTIFS('Extração'!O:O,"Parcialmente",'Extração'!J:J,A597)/B597)</f>
        <v/>
      </c>
      <c r="G597" s="12" t="str">
        <f>IF(B597=0,"",COUNTIFS('Extração'!N:N,"Não",'Extração'!J:J,A597)/B597)</f>
        <v/>
      </c>
      <c r="H597" s="12" t="str">
        <f>IF(B597=0,"",COUNTIFS('Extração'!O:O,"Não",'Extração'!J:J,A597)/B597)</f>
        <v/>
      </c>
      <c r="I597" s="12" t="str">
        <f>IF(B597=0,"",COUNTIFS('Extração'!P:P,"Igual",'Extração'!J:J,A597)/B597)</f>
        <v/>
      </c>
    </row>
    <row r="598">
      <c r="B598" s="12">
        <f>COUNTIF('Extração'!J:J,A598)</f>
        <v>0</v>
      </c>
      <c r="C598" s="12" t="str">
        <f>IF(B598=0,"",COUNTIFS('Extração'!N:N,"Sim",'Extração'!J:J,A598)/B598)</f>
        <v/>
      </c>
      <c r="D598" s="12" t="str">
        <f>IF(B598=0,"",COUNTIFS('Extração'!O:O,"Sim",'Extração'!J:J,A598)/B598)</f>
        <v/>
      </c>
      <c r="E598" s="12" t="str">
        <f>IF(B598=0,"",COUNTIFS('Extração'!N:N,"Parcialmente",'Extração'!J:J,A598)/B598)</f>
        <v/>
      </c>
      <c r="F598" s="12" t="str">
        <f>IF(B598=0,"",COUNTIFS('Extração'!O:O,"Parcialmente",'Extração'!J:J,A598)/B598)</f>
        <v/>
      </c>
      <c r="G598" s="12" t="str">
        <f>IF(B598=0,"",COUNTIFS('Extração'!N:N,"Não",'Extração'!J:J,A598)/B598)</f>
        <v/>
      </c>
      <c r="H598" s="12" t="str">
        <f>IF(B598=0,"",COUNTIFS('Extração'!O:O,"Não",'Extração'!J:J,A598)/B598)</f>
        <v/>
      </c>
      <c r="I598" s="12" t="str">
        <f>IF(B598=0,"",COUNTIFS('Extração'!P:P,"Igual",'Extração'!J:J,A598)/B598)</f>
        <v/>
      </c>
    </row>
    <row r="599">
      <c r="B599" s="12">
        <f>COUNTIF('Extração'!J:J,A599)</f>
        <v>0</v>
      </c>
      <c r="C599" s="12" t="str">
        <f>IF(B599=0,"",COUNTIFS('Extração'!N:N,"Sim",'Extração'!J:J,A599)/B599)</f>
        <v/>
      </c>
      <c r="D599" s="12" t="str">
        <f>IF(B599=0,"",COUNTIFS('Extração'!O:O,"Sim",'Extração'!J:J,A599)/B599)</f>
        <v/>
      </c>
      <c r="E599" s="12" t="str">
        <f>IF(B599=0,"",COUNTIFS('Extração'!N:N,"Parcialmente",'Extração'!J:J,A599)/B599)</f>
        <v/>
      </c>
      <c r="F599" s="12" t="str">
        <f>IF(B599=0,"",COUNTIFS('Extração'!O:O,"Parcialmente",'Extração'!J:J,A599)/B599)</f>
        <v/>
      </c>
      <c r="G599" s="12" t="str">
        <f>IF(B599=0,"",COUNTIFS('Extração'!N:N,"Não",'Extração'!J:J,A599)/B599)</f>
        <v/>
      </c>
      <c r="H599" s="12" t="str">
        <f>IF(B599=0,"",COUNTIFS('Extração'!O:O,"Não",'Extração'!J:J,A599)/B599)</f>
        <v/>
      </c>
      <c r="I599" s="12" t="str">
        <f>IF(B599=0,"",COUNTIFS('Extração'!P:P,"Igual",'Extração'!J:J,A599)/B599)</f>
        <v/>
      </c>
    </row>
    <row r="600">
      <c r="B600" s="12">
        <f>COUNTIF('Extração'!J:J,A600)</f>
        <v>0</v>
      </c>
      <c r="C600" s="12" t="str">
        <f>IF(B600=0,"",COUNTIFS('Extração'!N:N,"Sim",'Extração'!J:J,A600)/B600)</f>
        <v/>
      </c>
      <c r="D600" s="12" t="str">
        <f>IF(B600=0,"",COUNTIFS('Extração'!O:O,"Sim",'Extração'!J:J,A600)/B600)</f>
        <v/>
      </c>
      <c r="E600" s="12" t="str">
        <f>IF(B600=0,"",COUNTIFS('Extração'!N:N,"Parcialmente",'Extração'!J:J,A600)/B600)</f>
        <v/>
      </c>
      <c r="F600" s="12" t="str">
        <f>IF(B600=0,"",COUNTIFS('Extração'!O:O,"Parcialmente",'Extração'!J:J,A600)/B600)</f>
        <v/>
      </c>
      <c r="G600" s="12" t="str">
        <f>IF(B600=0,"",COUNTIFS('Extração'!N:N,"Não",'Extração'!J:J,A600)/B600)</f>
        <v/>
      </c>
      <c r="H600" s="12" t="str">
        <f>IF(B600=0,"",COUNTIFS('Extração'!O:O,"Não",'Extração'!J:J,A600)/B600)</f>
        <v/>
      </c>
      <c r="I600" s="12" t="str">
        <f>IF(B600=0,"",COUNTIFS('Extração'!P:P,"Igual",'Extração'!J:J,A600)/B600)</f>
        <v/>
      </c>
    </row>
    <row r="601">
      <c r="B601" s="12">
        <f>COUNTIF('Extração'!J:J,A601)</f>
        <v>0</v>
      </c>
      <c r="C601" s="12" t="str">
        <f>IF(B601=0,"",COUNTIFS('Extração'!N:N,"Sim",'Extração'!J:J,A601)/B601)</f>
        <v/>
      </c>
      <c r="D601" s="12" t="str">
        <f>IF(B601=0,"",COUNTIFS('Extração'!O:O,"Sim",'Extração'!J:J,A601)/B601)</f>
        <v/>
      </c>
      <c r="E601" s="12" t="str">
        <f>IF(B601=0,"",COUNTIFS('Extração'!N:N,"Parcialmente",'Extração'!J:J,A601)/B601)</f>
        <v/>
      </c>
      <c r="F601" s="12" t="str">
        <f>IF(B601=0,"",COUNTIFS('Extração'!O:O,"Parcialmente",'Extração'!J:J,A601)/B601)</f>
        <v/>
      </c>
      <c r="G601" s="12" t="str">
        <f>IF(B601=0,"",COUNTIFS('Extração'!N:N,"Não",'Extração'!J:J,A601)/B601)</f>
        <v/>
      </c>
      <c r="H601" s="12" t="str">
        <f>IF(B601=0,"",COUNTIFS('Extração'!O:O,"Não",'Extração'!J:J,A601)/B601)</f>
        <v/>
      </c>
      <c r="I601" s="12" t="str">
        <f>IF(B601=0,"",COUNTIFS('Extração'!P:P,"Igual",'Extração'!J:J,A601)/B601)</f>
        <v/>
      </c>
    </row>
    <row r="602">
      <c r="B602" s="12">
        <f>COUNTIF('Extração'!J:J,A602)</f>
        <v>0</v>
      </c>
      <c r="C602" s="12" t="str">
        <f>IF(B602=0,"",COUNTIFS('Extração'!N:N,"Sim",'Extração'!J:J,A602)/B602)</f>
        <v/>
      </c>
      <c r="D602" s="12" t="str">
        <f>IF(B602=0,"",COUNTIFS('Extração'!O:O,"Sim",'Extração'!J:J,A602)/B602)</f>
        <v/>
      </c>
      <c r="E602" s="12" t="str">
        <f>IF(B602=0,"",COUNTIFS('Extração'!N:N,"Parcialmente",'Extração'!J:J,A602)/B602)</f>
        <v/>
      </c>
      <c r="F602" s="12" t="str">
        <f>IF(B602=0,"",COUNTIFS('Extração'!O:O,"Parcialmente",'Extração'!J:J,A602)/B602)</f>
        <v/>
      </c>
      <c r="G602" s="12" t="str">
        <f>IF(B602=0,"",COUNTIFS('Extração'!N:N,"Não",'Extração'!J:J,A602)/B602)</f>
        <v/>
      </c>
      <c r="H602" s="12" t="str">
        <f>IF(B602=0,"",COUNTIFS('Extração'!O:O,"Não",'Extração'!J:J,A602)/B602)</f>
        <v/>
      </c>
      <c r="I602" s="12" t="str">
        <f>IF(B602=0,"",COUNTIFS('Extração'!P:P,"Igual",'Extração'!J:J,A602)/B602)</f>
        <v/>
      </c>
    </row>
    <row r="603">
      <c r="B603" s="12">
        <f>COUNTIF('Extração'!J:J,A603)</f>
        <v>0</v>
      </c>
      <c r="C603" s="12" t="str">
        <f>IF(B603=0,"",COUNTIFS('Extração'!N:N,"Sim",'Extração'!J:J,A603)/B603)</f>
        <v/>
      </c>
      <c r="D603" s="12" t="str">
        <f>IF(B603=0,"",COUNTIFS('Extração'!O:O,"Sim",'Extração'!J:J,A603)/B603)</f>
        <v/>
      </c>
      <c r="E603" s="12" t="str">
        <f>IF(B603=0,"",COUNTIFS('Extração'!N:N,"Parcialmente",'Extração'!J:J,A603)/B603)</f>
        <v/>
      </c>
      <c r="F603" s="12" t="str">
        <f>IF(B603=0,"",COUNTIFS('Extração'!O:O,"Parcialmente",'Extração'!J:J,A603)/B603)</f>
        <v/>
      </c>
      <c r="G603" s="12" t="str">
        <f>IF(B603=0,"",COUNTIFS('Extração'!N:N,"Não",'Extração'!J:J,A603)/B603)</f>
        <v/>
      </c>
      <c r="H603" s="12" t="str">
        <f>IF(B603=0,"",COUNTIFS('Extração'!O:O,"Não",'Extração'!J:J,A603)/B603)</f>
        <v/>
      </c>
      <c r="I603" s="12" t="str">
        <f>IF(B603=0,"",COUNTIFS('Extração'!P:P,"Igual",'Extração'!J:J,A603)/B603)</f>
        <v/>
      </c>
    </row>
    <row r="604">
      <c r="B604" s="12">
        <f>COUNTIF('Extração'!J:J,A604)</f>
        <v>0</v>
      </c>
      <c r="C604" s="12" t="str">
        <f>IF(B604=0,"",COUNTIFS('Extração'!N:N,"Sim",'Extração'!J:J,A604)/B604)</f>
        <v/>
      </c>
      <c r="D604" s="12" t="str">
        <f>IF(B604=0,"",COUNTIFS('Extração'!O:O,"Sim",'Extração'!J:J,A604)/B604)</f>
        <v/>
      </c>
      <c r="E604" s="12" t="str">
        <f>IF(B604=0,"",COUNTIFS('Extração'!N:N,"Parcialmente",'Extração'!J:J,A604)/B604)</f>
        <v/>
      </c>
      <c r="F604" s="12" t="str">
        <f>IF(B604=0,"",COUNTIFS('Extração'!O:O,"Parcialmente",'Extração'!J:J,A604)/B604)</f>
        <v/>
      </c>
      <c r="G604" s="12" t="str">
        <f>IF(B604=0,"",COUNTIFS('Extração'!N:N,"Não",'Extração'!J:J,A604)/B604)</f>
        <v/>
      </c>
      <c r="H604" s="12" t="str">
        <f>IF(B604=0,"",COUNTIFS('Extração'!O:O,"Não",'Extração'!J:J,A604)/B604)</f>
        <v/>
      </c>
      <c r="I604" s="12" t="str">
        <f>IF(B604=0,"",COUNTIFS('Extração'!P:P,"Igual",'Extração'!J:J,A604)/B604)</f>
        <v/>
      </c>
    </row>
    <row r="605">
      <c r="B605" s="12">
        <f>COUNTIF('Extração'!J:J,A605)</f>
        <v>0</v>
      </c>
      <c r="C605" s="12" t="str">
        <f>IF(B605=0,"",COUNTIFS('Extração'!N:N,"Sim",'Extração'!J:J,A605)/B605)</f>
        <v/>
      </c>
      <c r="D605" s="12" t="str">
        <f>IF(B605=0,"",COUNTIFS('Extração'!O:O,"Sim",'Extração'!J:J,A605)/B605)</f>
        <v/>
      </c>
      <c r="E605" s="12" t="str">
        <f>IF(B605=0,"",COUNTIFS('Extração'!N:N,"Parcialmente",'Extração'!J:J,A605)/B605)</f>
        <v/>
      </c>
      <c r="F605" s="12" t="str">
        <f>IF(B605=0,"",COUNTIFS('Extração'!O:O,"Parcialmente",'Extração'!J:J,A605)/B605)</f>
        <v/>
      </c>
      <c r="G605" s="12" t="str">
        <f>IF(B605=0,"",COUNTIFS('Extração'!N:N,"Não",'Extração'!J:J,A605)/B605)</f>
        <v/>
      </c>
      <c r="H605" s="12" t="str">
        <f>IF(B605=0,"",COUNTIFS('Extração'!O:O,"Não",'Extração'!J:J,A605)/B605)</f>
        <v/>
      </c>
      <c r="I605" s="12" t="str">
        <f>IF(B605=0,"",COUNTIFS('Extração'!P:P,"Igual",'Extração'!J:J,A605)/B605)</f>
        <v/>
      </c>
    </row>
    <row r="606">
      <c r="B606" s="12">
        <f>COUNTIF('Extração'!J:J,A606)</f>
        <v>0</v>
      </c>
      <c r="C606" s="12" t="str">
        <f>IF(B606=0,"",COUNTIFS('Extração'!N:N,"Sim",'Extração'!J:J,A606)/B606)</f>
        <v/>
      </c>
      <c r="D606" s="12" t="str">
        <f>IF(B606=0,"",COUNTIFS('Extração'!O:O,"Sim",'Extração'!J:J,A606)/B606)</f>
        <v/>
      </c>
      <c r="E606" s="12" t="str">
        <f>IF(B606=0,"",COUNTIFS('Extração'!N:N,"Parcialmente",'Extração'!J:J,A606)/B606)</f>
        <v/>
      </c>
      <c r="F606" s="12" t="str">
        <f>IF(B606=0,"",COUNTIFS('Extração'!O:O,"Parcialmente",'Extração'!J:J,A606)/B606)</f>
        <v/>
      </c>
      <c r="G606" s="12" t="str">
        <f>IF(B606=0,"",COUNTIFS('Extração'!N:N,"Não",'Extração'!J:J,A606)/B606)</f>
        <v/>
      </c>
      <c r="H606" s="12" t="str">
        <f>IF(B606=0,"",COUNTIFS('Extração'!O:O,"Não",'Extração'!J:J,A606)/B606)</f>
        <v/>
      </c>
      <c r="I606" s="12" t="str">
        <f>IF(B606=0,"",COUNTIFS('Extração'!P:P,"Igual",'Extração'!J:J,A606)/B606)</f>
        <v/>
      </c>
    </row>
    <row r="607">
      <c r="B607" s="12">
        <f>COUNTIF('Extração'!J:J,A607)</f>
        <v>0</v>
      </c>
      <c r="C607" s="12" t="str">
        <f>IF(B607=0,"",COUNTIFS('Extração'!N:N,"Sim",'Extração'!J:J,A607)/B607)</f>
        <v/>
      </c>
      <c r="D607" s="12" t="str">
        <f>IF(B607=0,"",COUNTIFS('Extração'!O:O,"Sim",'Extração'!J:J,A607)/B607)</f>
        <v/>
      </c>
      <c r="E607" s="12" t="str">
        <f>IF(B607=0,"",COUNTIFS('Extração'!N:N,"Parcialmente",'Extração'!J:J,A607)/B607)</f>
        <v/>
      </c>
      <c r="F607" s="12" t="str">
        <f>IF(B607=0,"",COUNTIFS('Extração'!O:O,"Parcialmente",'Extração'!J:J,A607)/B607)</f>
        <v/>
      </c>
      <c r="G607" s="12" t="str">
        <f>IF(B607=0,"",COUNTIFS('Extração'!N:N,"Não",'Extração'!J:J,A607)/B607)</f>
        <v/>
      </c>
      <c r="H607" s="12" t="str">
        <f>IF(B607=0,"",COUNTIFS('Extração'!O:O,"Não",'Extração'!J:J,A607)/B607)</f>
        <v/>
      </c>
      <c r="I607" s="12" t="str">
        <f>IF(B607=0,"",COUNTIFS('Extração'!P:P,"Igual",'Extração'!J:J,A607)/B607)</f>
        <v/>
      </c>
    </row>
    <row r="608">
      <c r="B608" s="12">
        <f>COUNTIF('Extração'!J:J,A608)</f>
        <v>0</v>
      </c>
      <c r="C608" s="12" t="str">
        <f>IF(B608=0,"",COUNTIFS('Extração'!N:N,"Sim",'Extração'!J:J,A608)/B608)</f>
        <v/>
      </c>
      <c r="D608" s="12" t="str">
        <f>IF(B608=0,"",COUNTIFS('Extração'!O:O,"Sim",'Extração'!J:J,A608)/B608)</f>
        <v/>
      </c>
      <c r="E608" s="12" t="str">
        <f>IF(B608=0,"",COUNTIFS('Extração'!N:N,"Parcialmente",'Extração'!J:J,A608)/B608)</f>
        <v/>
      </c>
      <c r="F608" s="12" t="str">
        <f>IF(B608=0,"",COUNTIFS('Extração'!O:O,"Parcialmente",'Extração'!J:J,A608)/B608)</f>
        <v/>
      </c>
      <c r="G608" s="12" t="str">
        <f>IF(B608=0,"",COUNTIFS('Extração'!N:N,"Não",'Extração'!J:J,A608)/B608)</f>
        <v/>
      </c>
      <c r="H608" s="12" t="str">
        <f>IF(B608=0,"",COUNTIFS('Extração'!O:O,"Não",'Extração'!J:J,A608)/B608)</f>
        <v/>
      </c>
      <c r="I608" s="12" t="str">
        <f>IF(B608=0,"",COUNTIFS('Extração'!P:P,"Igual",'Extração'!J:J,A608)/B608)</f>
        <v/>
      </c>
    </row>
    <row r="609">
      <c r="B609" s="12">
        <f>COUNTIF('Extração'!J:J,A609)</f>
        <v>0</v>
      </c>
      <c r="C609" s="12" t="str">
        <f>IF(B609=0,"",COUNTIFS('Extração'!N:N,"Sim",'Extração'!J:J,A609)/B609)</f>
        <v/>
      </c>
      <c r="D609" s="12" t="str">
        <f>IF(B609=0,"",COUNTIFS('Extração'!O:O,"Sim",'Extração'!J:J,A609)/B609)</f>
        <v/>
      </c>
      <c r="E609" s="12" t="str">
        <f>IF(B609=0,"",COUNTIFS('Extração'!N:N,"Parcialmente",'Extração'!J:J,A609)/B609)</f>
        <v/>
      </c>
      <c r="F609" s="12" t="str">
        <f>IF(B609=0,"",COUNTIFS('Extração'!O:O,"Parcialmente",'Extração'!J:J,A609)/B609)</f>
        <v/>
      </c>
      <c r="G609" s="12" t="str">
        <f>IF(B609=0,"",COUNTIFS('Extração'!N:N,"Não",'Extração'!J:J,A609)/B609)</f>
        <v/>
      </c>
      <c r="H609" s="12" t="str">
        <f>IF(B609=0,"",COUNTIFS('Extração'!O:O,"Não",'Extração'!J:J,A609)/B609)</f>
        <v/>
      </c>
      <c r="I609" s="12" t="str">
        <f>IF(B609=0,"",COUNTIFS('Extração'!P:P,"Igual",'Extração'!J:J,A609)/B609)</f>
        <v/>
      </c>
    </row>
    <row r="610">
      <c r="B610" s="12">
        <f>COUNTIF('Extração'!J:J,A610)</f>
        <v>0</v>
      </c>
      <c r="C610" s="12" t="str">
        <f>IF(B610=0,"",COUNTIFS('Extração'!N:N,"Sim",'Extração'!J:J,A610)/B610)</f>
        <v/>
      </c>
      <c r="D610" s="12" t="str">
        <f>IF(B610=0,"",COUNTIFS('Extração'!O:O,"Sim",'Extração'!J:J,A610)/B610)</f>
        <v/>
      </c>
      <c r="E610" s="12" t="str">
        <f>IF(B610=0,"",COUNTIFS('Extração'!N:N,"Parcialmente",'Extração'!J:J,A610)/B610)</f>
        <v/>
      </c>
      <c r="F610" s="12" t="str">
        <f>IF(B610=0,"",COUNTIFS('Extração'!O:O,"Parcialmente",'Extração'!J:J,A610)/B610)</f>
        <v/>
      </c>
      <c r="G610" s="12" t="str">
        <f>IF(B610=0,"",COUNTIFS('Extração'!N:N,"Não",'Extração'!J:J,A610)/B610)</f>
        <v/>
      </c>
      <c r="H610" s="12" t="str">
        <f>IF(B610=0,"",COUNTIFS('Extração'!O:O,"Não",'Extração'!J:J,A610)/B610)</f>
        <v/>
      </c>
      <c r="I610" s="12" t="str">
        <f>IF(B610=0,"",COUNTIFS('Extração'!P:P,"Igual",'Extração'!J:J,A610)/B610)</f>
        <v/>
      </c>
    </row>
    <row r="611">
      <c r="B611" s="12">
        <f>COUNTIF('Extração'!J:J,A611)</f>
        <v>0</v>
      </c>
      <c r="C611" s="12" t="str">
        <f>IF(B611=0,"",COUNTIFS('Extração'!N:N,"Sim",'Extração'!J:J,A611)/B611)</f>
        <v/>
      </c>
      <c r="D611" s="12" t="str">
        <f>IF(B611=0,"",COUNTIFS('Extração'!O:O,"Sim",'Extração'!J:J,A611)/B611)</f>
        <v/>
      </c>
      <c r="E611" s="12" t="str">
        <f>IF(B611=0,"",COUNTIFS('Extração'!N:N,"Parcialmente",'Extração'!J:J,A611)/B611)</f>
        <v/>
      </c>
      <c r="F611" s="12" t="str">
        <f>IF(B611=0,"",COUNTIFS('Extração'!O:O,"Parcialmente",'Extração'!J:J,A611)/B611)</f>
        <v/>
      </c>
      <c r="G611" s="12" t="str">
        <f>IF(B611=0,"",COUNTIFS('Extração'!N:N,"Não",'Extração'!J:J,A611)/B611)</f>
        <v/>
      </c>
      <c r="H611" s="12" t="str">
        <f>IF(B611=0,"",COUNTIFS('Extração'!O:O,"Não",'Extração'!J:J,A611)/B611)</f>
        <v/>
      </c>
      <c r="I611" s="12" t="str">
        <f>IF(B611=0,"",COUNTIFS('Extração'!P:P,"Igual",'Extração'!J:J,A611)/B611)</f>
        <v/>
      </c>
    </row>
    <row r="612">
      <c r="B612" s="12">
        <f>COUNTIF('Extração'!J:J,A612)</f>
        <v>0</v>
      </c>
      <c r="C612" s="12" t="str">
        <f>IF(B612=0,"",COUNTIFS('Extração'!N:N,"Sim",'Extração'!J:J,A612)/B612)</f>
        <v/>
      </c>
      <c r="D612" s="12" t="str">
        <f>IF(B612=0,"",COUNTIFS('Extração'!O:O,"Sim",'Extração'!J:J,A612)/B612)</f>
        <v/>
      </c>
      <c r="E612" s="12" t="str">
        <f>IF(B612=0,"",COUNTIFS('Extração'!N:N,"Parcialmente",'Extração'!J:J,A612)/B612)</f>
        <v/>
      </c>
      <c r="F612" s="12" t="str">
        <f>IF(B612=0,"",COUNTIFS('Extração'!O:O,"Parcialmente",'Extração'!J:J,A612)/B612)</f>
        <v/>
      </c>
      <c r="G612" s="12" t="str">
        <f>IF(B612=0,"",COUNTIFS('Extração'!N:N,"Não",'Extração'!J:J,A612)/B612)</f>
        <v/>
      </c>
      <c r="H612" s="12" t="str">
        <f>IF(B612=0,"",COUNTIFS('Extração'!O:O,"Não",'Extração'!J:J,A612)/B612)</f>
        <v/>
      </c>
      <c r="I612" s="12" t="str">
        <f>IF(B612=0,"",COUNTIFS('Extração'!P:P,"Igual",'Extração'!J:J,A612)/B612)</f>
        <v/>
      </c>
    </row>
    <row r="613">
      <c r="B613" s="12">
        <f>COUNTIF('Extração'!J:J,A613)</f>
        <v>0</v>
      </c>
      <c r="C613" s="12" t="str">
        <f>IF(B613=0,"",COUNTIFS('Extração'!N:N,"Sim",'Extração'!J:J,A613)/B613)</f>
        <v/>
      </c>
      <c r="D613" s="12" t="str">
        <f>IF(B613=0,"",COUNTIFS('Extração'!O:O,"Sim",'Extração'!J:J,A613)/B613)</f>
        <v/>
      </c>
      <c r="E613" s="12" t="str">
        <f>IF(B613=0,"",COUNTIFS('Extração'!N:N,"Parcialmente",'Extração'!J:J,A613)/B613)</f>
        <v/>
      </c>
      <c r="F613" s="12" t="str">
        <f>IF(B613=0,"",COUNTIFS('Extração'!O:O,"Parcialmente",'Extração'!J:J,A613)/B613)</f>
        <v/>
      </c>
      <c r="G613" s="12" t="str">
        <f>IF(B613=0,"",COUNTIFS('Extração'!N:N,"Não",'Extração'!J:J,A613)/B613)</f>
        <v/>
      </c>
      <c r="H613" s="12" t="str">
        <f>IF(B613=0,"",COUNTIFS('Extração'!O:O,"Não",'Extração'!J:J,A613)/B613)</f>
        <v/>
      </c>
      <c r="I613" s="12" t="str">
        <f>IF(B613=0,"",COUNTIFS('Extração'!P:P,"Igual",'Extração'!J:J,A613)/B613)</f>
        <v/>
      </c>
    </row>
    <row r="614">
      <c r="B614" s="12">
        <f>COUNTIF('Extração'!J:J,A614)</f>
        <v>0</v>
      </c>
      <c r="C614" s="12" t="str">
        <f>IF(B614=0,"",COUNTIFS('Extração'!N:N,"Sim",'Extração'!J:J,A614)/B614)</f>
        <v/>
      </c>
      <c r="D614" s="12" t="str">
        <f>IF(B614=0,"",COUNTIFS('Extração'!O:O,"Sim",'Extração'!J:J,A614)/B614)</f>
        <v/>
      </c>
      <c r="E614" s="12" t="str">
        <f>IF(B614=0,"",COUNTIFS('Extração'!N:N,"Parcialmente",'Extração'!J:J,A614)/B614)</f>
        <v/>
      </c>
      <c r="F614" s="12" t="str">
        <f>IF(B614=0,"",COUNTIFS('Extração'!O:O,"Parcialmente",'Extração'!J:J,A614)/B614)</f>
        <v/>
      </c>
      <c r="G614" s="12" t="str">
        <f>IF(B614=0,"",COUNTIFS('Extração'!N:N,"Não",'Extração'!J:J,A614)/B614)</f>
        <v/>
      </c>
      <c r="H614" s="12" t="str">
        <f>IF(B614=0,"",COUNTIFS('Extração'!O:O,"Não",'Extração'!J:J,A614)/B614)</f>
        <v/>
      </c>
      <c r="I614" s="12" t="str">
        <f>IF(B614=0,"",COUNTIFS('Extração'!P:P,"Igual",'Extração'!J:J,A614)/B614)</f>
        <v/>
      </c>
    </row>
    <row r="615">
      <c r="B615" s="12">
        <f>COUNTIF('Extração'!J:J,A615)</f>
        <v>0</v>
      </c>
      <c r="C615" s="12" t="str">
        <f>IF(B615=0,"",COUNTIFS('Extração'!N:N,"Sim",'Extração'!J:J,A615)/B615)</f>
        <v/>
      </c>
      <c r="D615" s="12" t="str">
        <f>IF(B615=0,"",COUNTIFS('Extração'!O:O,"Sim",'Extração'!J:J,A615)/B615)</f>
        <v/>
      </c>
      <c r="E615" s="12" t="str">
        <f>IF(B615=0,"",COUNTIFS('Extração'!N:N,"Parcialmente",'Extração'!J:J,A615)/B615)</f>
        <v/>
      </c>
      <c r="F615" s="12" t="str">
        <f>IF(B615=0,"",COUNTIFS('Extração'!O:O,"Parcialmente",'Extração'!J:J,A615)/B615)</f>
        <v/>
      </c>
      <c r="G615" s="12" t="str">
        <f>IF(B615=0,"",COUNTIFS('Extração'!N:N,"Não",'Extração'!J:J,A615)/B615)</f>
        <v/>
      </c>
      <c r="H615" s="12" t="str">
        <f>IF(B615=0,"",COUNTIFS('Extração'!O:O,"Não",'Extração'!J:J,A615)/B615)</f>
        <v/>
      </c>
      <c r="I615" s="12" t="str">
        <f>IF(B615=0,"",COUNTIFS('Extração'!P:P,"Igual",'Extração'!J:J,A615)/B615)</f>
        <v/>
      </c>
    </row>
    <row r="616">
      <c r="B616" s="12">
        <f>COUNTIF('Extração'!J:J,A616)</f>
        <v>0</v>
      </c>
      <c r="C616" s="12" t="str">
        <f>IF(B616=0,"",COUNTIFS('Extração'!N:N,"Sim",'Extração'!J:J,A616)/B616)</f>
        <v/>
      </c>
      <c r="D616" s="12" t="str">
        <f>IF(B616=0,"",COUNTIFS('Extração'!O:O,"Sim",'Extração'!J:J,A616)/B616)</f>
        <v/>
      </c>
      <c r="E616" s="12" t="str">
        <f>IF(B616=0,"",COUNTIFS('Extração'!N:N,"Parcialmente",'Extração'!J:J,A616)/B616)</f>
        <v/>
      </c>
      <c r="F616" s="12" t="str">
        <f>IF(B616=0,"",COUNTIFS('Extração'!O:O,"Parcialmente",'Extração'!J:J,A616)/B616)</f>
        <v/>
      </c>
      <c r="G616" s="12" t="str">
        <f>IF(B616=0,"",COUNTIFS('Extração'!N:N,"Não",'Extração'!J:J,A616)/B616)</f>
        <v/>
      </c>
      <c r="H616" s="12" t="str">
        <f>IF(B616=0,"",COUNTIFS('Extração'!O:O,"Não",'Extração'!J:J,A616)/B616)</f>
        <v/>
      </c>
      <c r="I616" s="12" t="str">
        <f>IF(B616=0,"",COUNTIFS('Extração'!P:P,"Igual",'Extração'!J:J,A616)/B616)</f>
        <v/>
      </c>
    </row>
    <row r="617">
      <c r="B617" s="12">
        <f>COUNTIF('Extração'!J:J,A617)</f>
        <v>0</v>
      </c>
      <c r="C617" s="12" t="str">
        <f>IF(B617=0,"",COUNTIFS('Extração'!N:N,"Sim",'Extração'!J:J,A617)/B617)</f>
        <v/>
      </c>
      <c r="D617" s="12" t="str">
        <f>IF(B617=0,"",COUNTIFS('Extração'!O:O,"Sim",'Extração'!J:J,A617)/B617)</f>
        <v/>
      </c>
      <c r="E617" s="12" t="str">
        <f>IF(B617=0,"",COUNTIFS('Extração'!N:N,"Parcialmente",'Extração'!J:J,A617)/B617)</f>
        <v/>
      </c>
      <c r="F617" s="12" t="str">
        <f>IF(B617=0,"",COUNTIFS('Extração'!O:O,"Parcialmente",'Extração'!J:J,A617)/B617)</f>
        <v/>
      </c>
      <c r="G617" s="12" t="str">
        <f>IF(B617=0,"",COUNTIFS('Extração'!N:N,"Não",'Extração'!J:J,A617)/B617)</f>
        <v/>
      </c>
      <c r="H617" s="12" t="str">
        <f>IF(B617=0,"",COUNTIFS('Extração'!O:O,"Não",'Extração'!J:J,A617)/B617)</f>
        <v/>
      </c>
      <c r="I617" s="12" t="str">
        <f>IF(B617=0,"",COUNTIFS('Extração'!P:P,"Igual",'Extração'!J:J,A617)/B617)</f>
        <v/>
      </c>
    </row>
    <row r="618">
      <c r="B618" s="12">
        <f>COUNTIF('Extração'!J:J,A618)</f>
        <v>0</v>
      </c>
      <c r="C618" s="12" t="str">
        <f>IF(B618=0,"",COUNTIFS('Extração'!N:N,"Sim",'Extração'!J:J,A618)/B618)</f>
        <v/>
      </c>
      <c r="D618" s="12" t="str">
        <f>IF(B618=0,"",COUNTIFS('Extração'!O:O,"Sim",'Extração'!J:J,A618)/B618)</f>
        <v/>
      </c>
      <c r="E618" s="12" t="str">
        <f>IF(B618=0,"",COUNTIFS('Extração'!N:N,"Parcialmente",'Extração'!J:J,A618)/B618)</f>
        <v/>
      </c>
      <c r="F618" s="12" t="str">
        <f>IF(B618=0,"",COUNTIFS('Extração'!O:O,"Parcialmente",'Extração'!J:J,A618)/B618)</f>
        <v/>
      </c>
      <c r="G618" s="12" t="str">
        <f>IF(B618=0,"",COUNTIFS('Extração'!N:N,"Não",'Extração'!J:J,A618)/B618)</f>
        <v/>
      </c>
      <c r="H618" s="12" t="str">
        <f>IF(B618=0,"",COUNTIFS('Extração'!O:O,"Não",'Extração'!J:J,A618)/B618)</f>
        <v/>
      </c>
      <c r="I618" s="12" t="str">
        <f>IF(B618=0,"",COUNTIFS('Extração'!P:P,"Igual",'Extração'!J:J,A618)/B618)</f>
        <v/>
      </c>
    </row>
    <row r="619">
      <c r="B619" s="12">
        <f>COUNTIF('Extração'!J:J,A619)</f>
        <v>0</v>
      </c>
      <c r="C619" s="12" t="str">
        <f>IF(B619=0,"",COUNTIFS('Extração'!N:N,"Sim",'Extração'!J:J,A619)/B619)</f>
        <v/>
      </c>
      <c r="D619" s="12" t="str">
        <f>IF(B619=0,"",COUNTIFS('Extração'!O:O,"Sim",'Extração'!J:J,A619)/B619)</f>
        <v/>
      </c>
      <c r="E619" s="12" t="str">
        <f>IF(B619=0,"",COUNTIFS('Extração'!N:N,"Parcialmente",'Extração'!J:J,A619)/B619)</f>
        <v/>
      </c>
      <c r="F619" s="12" t="str">
        <f>IF(B619=0,"",COUNTIFS('Extração'!O:O,"Parcialmente",'Extração'!J:J,A619)/B619)</f>
        <v/>
      </c>
      <c r="G619" s="12" t="str">
        <f>IF(B619=0,"",COUNTIFS('Extração'!N:N,"Não",'Extração'!J:J,A619)/B619)</f>
        <v/>
      </c>
      <c r="H619" s="12" t="str">
        <f>IF(B619=0,"",COUNTIFS('Extração'!O:O,"Não",'Extração'!J:J,A619)/B619)</f>
        <v/>
      </c>
      <c r="I619" s="12" t="str">
        <f>IF(B619=0,"",COUNTIFS('Extração'!P:P,"Igual",'Extração'!J:J,A619)/B619)</f>
        <v/>
      </c>
    </row>
    <row r="620">
      <c r="B620" s="12">
        <f>COUNTIF('Extração'!J:J,A620)</f>
        <v>0</v>
      </c>
      <c r="C620" s="12" t="str">
        <f>IF(B620=0,"",COUNTIFS('Extração'!N:N,"Sim",'Extração'!J:J,A620)/B620)</f>
        <v/>
      </c>
      <c r="D620" s="12" t="str">
        <f>IF(B620=0,"",COUNTIFS('Extração'!O:O,"Sim",'Extração'!J:J,A620)/B620)</f>
        <v/>
      </c>
      <c r="E620" s="12" t="str">
        <f>IF(B620=0,"",COUNTIFS('Extração'!N:N,"Parcialmente",'Extração'!J:J,A620)/B620)</f>
        <v/>
      </c>
      <c r="F620" s="12" t="str">
        <f>IF(B620=0,"",COUNTIFS('Extração'!O:O,"Parcialmente",'Extração'!J:J,A620)/B620)</f>
        <v/>
      </c>
      <c r="G620" s="12" t="str">
        <f>IF(B620=0,"",COUNTIFS('Extração'!N:N,"Não",'Extração'!J:J,A620)/B620)</f>
        <v/>
      </c>
      <c r="H620" s="12" t="str">
        <f>IF(B620=0,"",COUNTIFS('Extração'!O:O,"Não",'Extração'!J:J,A620)/B620)</f>
        <v/>
      </c>
      <c r="I620" s="12" t="str">
        <f>IF(B620=0,"",COUNTIFS('Extração'!P:P,"Igual",'Extração'!J:J,A620)/B620)</f>
        <v/>
      </c>
    </row>
    <row r="621">
      <c r="B621" s="12">
        <f>COUNTIF('Extração'!J:J,A621)</f>
        <v>0</v>
      </c>
      <c r="C621" s="12" t="str">
        <f>IF(B621=0,"",COUNTIFS('Extração'!N:N,"Sim",'Extração'!J:J,A621)/B621)</f>
        <v/>
      </c>
      <c r="D621" s="12" t="str">
        <f>IF(B621=0,"",COUNTIFS('Extração'!O:O,"Sim",'Extração'!J:J,A621)/B621)</f>
        <v/>
      </c>
      <c r="E621" s="12" t="str">
        <f>IF(B621=0,"",COUNTIFS('Extração'!N:N,"Parcialmente",'Extração'!J:J,A621)/B621)</f>
        <v/>
      </c>
      <c r="F621" s="12" t="str">
        <f>IF(B621=0,"",COUNTIFS('Extração'!O:O,"Parcialmente",'Extração'!J:J,A621)/B621)</f>
        <v/>
      </c>
      <c r="G621" s="12" t="str">
        <f>IF(B621=0,"",COUNTIFS('Extração'!N:N,"Não",'Extração'!J:J,A621)/B621)</f>
        <v/>
      </c>
      <c r="H621" s="12" t="str">
        <f>IF(B621=0,"",COUNTIFS('Extração'!O:O,"Não",'Extração'!J:J,A621)/B621)</f>
        <v/>
      </c>
      <c r="I621" s="12" t="str">
        <f>IF(B621=0,"",COUNTIFS('Extração'!P:P,"Igual",'Extração'!J:J,A621)/B621)</f>
        <v/>
      </c>
    </row>
    <row r="622">
      <c r="B622" s="12">
        <f>COUNTIF('Extração'!J:J,A622)</f>
        <v>0</v>
      </c>
      <c r="C622" s="12" t="str">
        <f>IF(B622=0,"",COUNTIFS('Extração'!N:N,"Sim",'Extração'!J:J,A622)/B622)</f>
        <v/>
      </c>
      <c r="D622" s="12" t="str">
        <f>IF(B622=0,"",COUNTIFS('Extração'!O:O,"Sim",'Extração'!J:J,A622)/B622)</f>
        <v/>
      </c>
      <c r="E622" s="12" t="str">
        <f>IF(B622=0,"",COUNTIFS('Extração'!N:N,"Parcialmente",'Extração'!J:J,A622)/B622)</f>
        <v/>
      </c>
      <c r="F622" s="12" t="str">
        <f>IF(B622=0,"",COUNTIFS('Extração'!O:O,"Parcialmente",'Extração'!J:J,A622)/B622)</f>
        <v/>
      </c>
      <c r="G622" s="12" t="str">
        <f>IF(B622=0,"",COUNTIFS('Extração'!N:N,"Não",'Extração'!J:J,A622)/B622)</f>
        <v/>
      </c>
      <c r="H622" s="12" t="str">
        <f>IF(B622=0,"",COUNTIFS('Extração'!O:O,"Não",'Extração'!J:J,A622)/B622)</f>
        <v/>
      </c>
      <c r="I622" s="12" t="str">
        <f>IF(B622=0,"",COUNTIFS('Extração'!P:P,"Igual",'Extração'!J:J,A622)/B622)</f>
        <v/>
      </c>
    </row>
    <row r="623">
      <c r="B623" s="12">
        <f>COUNTIF('Extração'!J:J,A623)</f>
        <v>0</v>
      </c>
      <c r="C623" s="12" t="str">
        <f>IF(B623=0,"",COUNTIFS('Extração'!N:N,"Sim",'Extração'!J:J,A623)/B623)</f>
        <v/>
      </c>
      <c r="D623" s="12" t="str">
        <f>IF(B623=0,"",COUNTIFS('Extração'!O:O,"Sim",'Extração'!J:J,A623)/B623)</f>
        <v/>
      </c>
      <c r="E623" s="12" t="str">
        <f>IF(B623=0,"",COUNTIFS('Extração'!N:N,"Parcialmente",'Extração'!J:J,A623)/B623)</f>
        <v/>
      </c>
      <c r="F623" s="12" t="str">
        <f>IF(B623=0,"",COUNTIFS('Extração'!O:O,"Parcialmente",'Extração'!J:J,A623)/B623)</f>
        <v/>
      </c>
      <c r="G623" s="12" t="str">
        <f>IF(B623=0,"",COUNTIFS('Extração'!N:N,"Não",'Extração'!J:J,A623)/B623)</f>
        <v/>
      </c>
      <c r="H623" s="12" t="str">
        <f>IF(B623=0,"",COUNTIFS('Extração'!O:O,"Não",'Extração'!J:J,A623)/B623)</f>
        <v/>
      </c>
      <c r="I623" s="12" t="str">
        <f>IF(B623=0,"",COUNTIFS('Extração'!P:P,"Igual",'Extração'!J:J,A623)/B623)</f>
        <v/>
      </c>
    </row>
    <row r="624">
      <c r="B624" s="12">
        <f>COUNTIF('Extração'!J:J,A624)</f>
        <v>0</v>
      </c>
      <c r="C624" s="12" t="str">
        <f>IF(B624=0,"",COUNTIFS('Extração'!N:N,"Sim",'Extração'!J:J,A624)/B624)</f>
        <v/>
      </c>
      <c r="D624" s="12" t="str">
        <f>IF(B624=0,"",COUNTIFS('Extração'!O:O,"Sim",'Extração'!J:J,A624)/B624)</f>
        <v/>
      </c>
      <c r="E624" s="12" t="str">
        <f>IF(B624=0,"",COUNTIFS('Extração'!N:N,"Parcialmente",'Extração'!J:J,A624)/B624)</f>
        <v/>
      </c>
      <c r="F624" s="12" t="str">
        <f>IF(B624=0,"",COUNTIFS('Extração'!O:O,"Parcialmente",'Extração'!J:J,A624)/B624)</f>
        <v/>
      </c>
      <c r="G624" s="12" t="str">
        <f>IF(B624=0,"",COUNTIFS('Extração'!N:N,"Não",'Extração'!J:J,A624)/B624)</f>
        <v/>
      </c>
      <c r="H624" s="12" t="str">
        <f>IF(B624=0,"",COUNTIFS('Extração'!O:O,"Não",'Extração'!J:J,A624)/B624)</f>
        <v/>
      </c>
      <c r="I624" s="12" t="str">
        <f>IF(B624=0,"",COUNTIFS('Extração'!P:P,"Igual",'Extração'!J:J,A624)/B624)</f>
        <v/>
      </c>
    </row>
    <row r="625">
      <c r="B625" s="12">
        <f>COUNTIF('Extração'!J:J,A625)</f>
        <v>0</v>
      </c>
      <c r="C625" s="12" t="str">
        <f>IF(B625=0,"",COUNTIFS('Extração'!N:N,"Sim",'Extração'!J:J,A625)/B625)</f>
        <v/>
      </c>
      <c r="D625" s="12" t="str">
        <f>IF(B625=0,"",COUNTIFS('Extração'!O:O,"Sim",'Extração'!J:J,A625)/B625)</f>
        <v/>
      </c>
      <c r="E625" s="12" t="str">
        <f>IF(B625=0,"",COUNTIFS('Extração'!N:N,"Parcialmente",'Extração'!J:J,A625)/B625)</f>
        <v/>
      </c>
      <c r="F625" s="12" t="str">
        <f>IF(B625=0,"",COUNTIFS('Extração'!O:O,"Parcialmente",'Extração'!J:J,A625)/B625)</f>
        <v/>
      </c>
      <c r="G625" s="12" t="str">
        <f>IF(B625=0,"",COUNTIFS('Extração'!N:N,"Não",'Extração'!J:J,A625)/B625)</f>
        <v/>
      </c>
      <c r="H625" s="12" t="str">
        <f>IF(B625=0,"",COUNTIFS('Extração'!O:O,"Não",'Extração'!J:J,A625)/B625)</f>
        <v/>
      </c>
      <c r="I625" s="12" t="str">
        <f>IF(B625=0,"",COUNTIFS('Extração'!P:P,"Igual",'Extração'!J:J,A625)/B625)</f>
        <v/>
      </c>
    </row>
    <row r="626">
      <c r="B626" s="12">
        <f>COUNTIF('Extração'!J:J,A626)</f>
        <v>0</v>
      </c>
      <c r="C626" s="12" t="str">
        <f>IF(B626=0,"",COUNTIFS('Extração'!N:N,"Sim",'Extração'!J:J,A626)/B626)</f>
        <v/>
      </c>
      <c r="D626" s="12" t="str">
        <f>IF(B626=0,"",COUNTIFS('Extração'!O:O,"Sim",'Extração'!J:J,A626)/B626)</f>
        <v/>
      </c>
      <c r="E626" s="12" t="str">
        <f>IF(B626=0,"",COUNTIFS('Extração'!N:N,"Parcialmente",'Extração'!J:J,A626)/B626)</f>
        <v/>
      </c>
      <c r="F626" s="12" t="str">
        <f>IF(B626=0,"",COUNTIFS('Extração'!O:O,"Parcialmente",'Extração'!J:J,A626)/B626)</f>
        <v/>
      </c>
      <c r="G626" s="12" t="str">
        <f>IF(B626=0,"",COUNTIFS('Extração'!N:N,"Não",'Extração'!J:J,A626)/B626)</f>
        <v/>
      </c>
      <c r="H626" s="12" t="str">
        <f>IF(B626=0,"",COUNTIFS('Extração'!O:O,"Não",'Extração'!J:J,A626)/B626)</f>
        <v/>
      </c>
      <c r="I626" s="12" t="str">
        <f>IF(B626=0,"",COUNTIFS('Extração'!P:P,"Igual",'Extração'!J:J,A626)/B626)</f>
        <v/>
      </c>
    </row>
    <row r="627">
      <c r="B627" s="12">
        <f>COUNTIF('Extração'!J:J,A627)</f>
        <v>0</v>
      </c>
      <c r="C627" s="12" t="str">
        <f>IF(B627=0,"",COUNTIFS('Extração'!N:N,"Sim",'Extração'!J:J,A627)/B627)</f>
        <v/>
      </c>
      <c r="D627" s="12" t="str">
        <f>IF(B627=0,"",COUNTIFS('Extração'!O:O,"Sim",'Extração'!J:J,A627)/B627)</f>
        <v/>
      </c>
      <c r="E627" s="12" t="str">
        <f>IF(B627=0,"",COUNTIFS('Extração'!N:N,"Parcialmente",'Extração'!J:J,A627)/B627)</f>
        <v/>
      </c>
      <c r="F627" s="12" t="str">
        <f>IF(B627=0,"",COUNTIFS('Extração'!O:O,"Parcialmente",'Extração'!J:J,A627)/B627)</f>
        <v/>
      </c>
      <c r="G627" s="12" t="str">
        <f>IF(B627=0,"",COUNTIFS('Extração'!N:N,"Não",'Extração'!J:J,A627)/B627)</f>
        <v/>
      </c>
      <c r="H627" s="12" t="str">
        <f>IF(B627=0,"",COUNTIFS('Extração'!O:O,"Não",'Extração'!J:J,A627)/B627)</f>
        <v/>
      </c>
      <c r="I627" s="12" t="str">
        <f>IF(B627=0,"",COUNTIFS('Extração'!P:P,"Igual",'Extração'!J:J,A627)/B627)</f>
        <v/>
      </c>
    </row>
    <row r="628">
      <c r="B628" s="12">
        <f>COUNTIF('Extração'!J:J,A628)</f>
        <v>0</v>
      </c>
      <c r="C628" s="12" t="str">
        <f>IF(B628=0,"",COUNTIFS('Extração'!N:N,"Sim",'Extração'!J:J,A628)/B628)</f>
        <v/>
      </c>
      <c r="D628" s="12" t="str">
        <f>IF(B628=0,"",COUNTIFS('Extração'!O:O,"Sim",'Extração'!J:J,A628)/B628)</f>
        <v/>
      </c>
      <c r="E628" s="12" t="str">
        <f>IF(B628=0,"",COUNTIFS('Extração'!N:N,"Parcialmente",'Extração'!J:J,A628)/B628)</f>
        <v/>
      </c>
      <c r="F628" s="12" t="str">
        <f>IF(B628=0,"",COUNTIFS('Extração'!O:O,"Parcialmente",'Extração'!J:J,A628)/B628)</f>
        <v/>
      </c>
      <c r="G628" s="12" t="str">
        <f>IF(B628=0,"",COUNTIFS('Extração'!N:N,"Não",'Extração'!J:J,A628)/B628)</f>
        <v/>
      </c>
      <c r="H628" s="12" t="str">
        <f>IF(B628=0,"",COUNTIFS('Extração'!O:O,"Não",'Extração'!J:J,A628)/B628)</f>
        <v/>
      </c>
      <c r="I628" s="12" t="str">
        <f>IF(B628=0,"",COUNTIFS('Extração'!P:P,"Igual",'Extração'!J:J,A628)/B628)</f>
        <v/>
      </c>
    </row>
    <row r="629">
      <c r="B629" s="12">
        <f>COUNTIF('Extração'!J:J,A629)</f>
        <v>0</v>
      </c>
      <c r="C629" s="12" t="str">
        <f>IF(B629=0,"",COUNTIFS('Extração'!N:N,"Sim",'Extração'!J:J,A629)/B629)</f>
        <v/>
      </c>
      <c r="D629" s="12" t="str">
        <f>IF(B629=0,"",COUNTIFS('Extração'!O:O,"Sim",'Extração'!J:J,A629)/B629)</f>
        <v/>
      </c>
      <c r="E629" s="12" t="str">
        <f>IF(B629=0,"",COUNTIFS('Extração'!N:N,"Parcialmente",'Extração'!J:J,A629)/B629)</f>
        <v/>
      </c>
      <c r="F629" s="12" t="str">
        <f>IF(B629=0,"",COUNTIFS('Extração'!O:O,"Parcialmente",'Extração'!J:J,A629)/B629)</f>
        <v/>
      </c>
      <c r="G629" s="12" t="str">
        <f>IF(B629=0,"",COUNTIFS('Extração'!N:N,"Não",'Extração'!J:J,A629)/B629)</f>
        <v/>
      </c>
      <c r="H629" s="12" t="str">
        <f>IF(B629=0,"",COUNTIFS('Extração'!O:O,"Não",'Extração'!J:J,A629)/B629)</f>
        <v/>
      </c>
      <c r="I629" s="12" t="str">
        <f>IF(B629=0,"",COUNTIFS('Extração'!P:P,"Igual",'Extração'!J:J,A629)/B629)</f>
        <v/>
      </c>
    </row>
    <row r="630">
      <c r="B630" s="12">
        <f>COUNTIF('Extração'!J:J,A630)</f>
        <v>0</v>
      </c>
      <c r="C630" s="12" t="str">
        <f>IF(B630=0,"",COUNTIFS('Extração'!N:N,"Sim",'Extração'!J:J,A630)/B630)</f>
        <v/>
      </c>
      <c r="D630" s="12" t="str">
        <f>IF(B630=0,"",COUNTIFS('Extração'!O:O,"Sim",'Extração'!J:J,A630)/B630)</f>
        <v/>
      </c>
      <c r="E630" s="12" t="str">
        <f>IF(B630=0,"",COUNTIFS('Extração'!N:N,"Parcialmente",'Extração'!J:J,A630)/B630)</f>
        <v/>
      </c>
      <c r="F630" s="12" t="str">
        <f>IF(B630=0,"",COUNTIFS('Extração'!O:O,"Parcialmente",'Extração'!J:J,A630)/B630)</f>
        <v/>
      </c>
      <c r="G630" s="12" t="str">
        <f>IF(B630=0,"",COUNTIFS('Extração'!N:N,"Não",'Extração'!J:J,A630)/B630)</f>
        <v/>
      </c>
      <c r="H630" s="12" t="str">
        <f>IF(B630=0,"",COUNTIFS('Extração'!O:O,"Não",'Extração'!J:J,A630)/B630)</f>
        <v/>
      </c>
      <c r="I630" s="12" t="str">
        <f>IF(B630=0,"",COUNTIFS('Extração'!P:P,"Igual",'Extração'!J:J,A630)/B630)</f>
        <v/>
      </c>
    </row>
    <row r="631">
      <c r="B631" s="12">
        <f>COUNTIF('Extração'!J:J,A631)</f>
        <v>0</v>
      </c>
      <c r="C631" s="12" t="str">
        <f>IF(B631=0,"",COUNTIFS('Extração'!N:N,"Sim",'Extração'!J:J,A631)/B631)</f>
        <v/>
      </c>
      <c r="D631" s="12" t="str">
        <f>IF(B631=0,"",COUNTIFS('Extração'!O:O,"Sim",'Extração'!J:J,A631)/B631)</f>
        <v/>
      </c>
      <c r="E631" s="12" t="str">
        <f>IF(B631=0,"",COUNTIFS('Extração'!N:N,"Parcialmente",'Extração'!J:J,A631)/B631)</f>
        <v/>
      </c>
      <c r="F631" s="12" t="str">
        <f>IF(B631=0,"",COUNTIFS('Extração'!O:O,"Parcialmente",'Extração'!J:J,A631)/B631)</f>
        <v/>
      </c>
      <c r="G631" s="12" t="str">
        <f>IF(B631=0,"",COUNTIFS('Extração'!N:N,"Não",'Extração'!J:J,A631)/B631)</f>
        <v/>
      </c>
      <c r="H631" s="12" t="str">
        <f>IF(B631=0,"",COUNTIFS('Extração'!O:O,"Não",'Extração'!J:J,A631)/B631)</f>
        <v/>
      </c>
      <c r="I631" s="12" t="str">
        <f>IF(B631=0,"",COUNTIFS('Extração'!P:P,"Igual",'Extração'!J:J,A631)/B631)</f>
        <v/>
      </c>
    </row>
    <row r="632">
      <c r="B632" s="12">
        <f>COUNTIF('Extração'!J:J,A632)</f>
        <v>0</v>
      </c>
      <c r="C632" s="12" t="str">
        <f>IF(B632=0,"",COUNTIFS('Extração'!N:N,"Sim",'Extração'!J:J,A632)/B632)</f>
        <v/>
      </c>
      <c r="D632" s="12" t="str">
        <f>IF(B632=0,"",COUNTIFS('Extração'!O:O,"Sim",'Extração'!J:J,A632)/B632)</f>
        <v/>
      </c>
      <c r="E632" s="12" t="str">
        <f>IF(B632=0,"",COUNTIFS('Extração'!N:N,"Parcialmente",'Extração'!J:J,A632)/B632)</f>
        <v/>
      </c>
      <c r="F632" s="12" t="str">
        <f>IF(B632=0,"",COUNTIFS('Extração'!O:O,"Parcialmente",'Extração'!J:J,A632)/B632)</f>
        <v/>
      </c>
      <c r="G632" s="12" t="str">
        <f>IF(B632=0,"",COUNTIFS('Extração'!N:N,"Não",'Extração'!J:J,A632)/B632)</f>
        <v/>
      </c>
      <c r="H632" s="12" t="str">
        <f>IF(B632=0,"",COUNTIFS('Extração'!O:O,"Não",'Extração'!J:J,A632)/B632)</f>
        <v/>
      </c>
      <c r="I632" s="12" t="str">
        <f>IF(B632=0,"",COUNTIFS('Extração'!P:P,"Igual",'Extração'!J:J,A632)/B632)</f>
        <v/>
      </c>
    </row>
    <row r="633">
      <c r="B633" s="12">
        <f>COUNTIF('Extração'!J:J,A633)</f>
        <v>0</v>
      </c>
      <c r="C633" s="12" t="str">
        <f>IF(B633=0,"",COUNTIFS('Extração'!N:N,"Sim",'Extração'!J:J,A633)/B633)</f>
        <v/>
      </c>
      <c r="D633" s="12" t="str">
        <f>IF(B633=0,"",COUNTIFS('Extração'!O:O,"Sim",'Extração'!J:J,A633)/B633)</f>
        <v/>
      </c>
      <c r="E633" s="12" t="str">
        <f>IF(B633=0,"",COUNTIFS('Extração'!N:N,"Parcialmente",'Extração'!J:J,A633)/B633)</f>
        <v/>
      </c>
      <c r="F633" s="12" t="str">
        <f>IF(B633=0,"",COUNTIFS('Extração'!O:O,"Parcialmente",'Extração'!J:J,A633)/B633)</f>
        <v/>
      </c>
      <c r="G633" s="12" t="str">
        <f>IF(B633=0,"",COUNTIFS('Extração'!N:N,"Não",'Extração'!J:J,A633)/B633)</f>
        <v/>
      </c>
      <c r="H633" s="12" t="str">
        <f>IF(B633=0,"",COUNTIFS('Extração'!O:O,"Não",'Extração'!J:J,A633)/B633)</f>
        <v/>
      </c>
      <c r="I633" s="12" t="str">
        <f>IF(B633=0,"",COUNTIFS('Extração'!P:P,"Igual",'Extração'!J:J,A633)/B633)</f>
        <v/>
      </c>
    </row>
    <row r="634">
      <c r="B634" s="12">
        <f>COUNTIF('Extração'!J:J,A634)</f>
        <v>0</v>
      </c>
      <c r="C634" s="12" t="str">
        <f>IF(B634=0,"",COUNTIFS('Extração'!N:N,"Sim",'Extração'!J:J,A634)/B634)</f>
        <v/>
      </c>
      <c r="D634" s="12" t="str">
        <f>IF(B634=0,"",COUNTIFS('Extração'!O:O,"Sim",'Extração'!J:J,A634)/B634)</f>
        <v/>
      </c>
      <c r="E634" s="12" t="str">
        <f>IF(B634=0,"",COUNTIFS('Extração'!N:N,"Parcialmente",'Extração'!J:J,A634)/B634)</f>
        <v/>
      </c>
      <c r="F634" s="12" t="str">
        <f>IF(B634=0,"",COUNTIFS('Extração'!O:O,"Parcialmente",'Extração'!J:J,A634)/B634)</f>
        <v/>
      </c>
      <c r="G634" s="12" t="str">
        <f>IF(B634=0,"",COUNTIFS('Extração'!N:N,"Não",'Extração'!J:J,A634)/B634)</f>
        <v/>
      </c>
      <c r="H634" s="12" t="str">
        <f>IF(B634=0,"",COUNTIFS('Extração'!O:O,"Não",'Extração'!J:J,A634)/B634)</f>
        <v/>
      </c>
      <c r="I634" s="12" t="str">
        <f>IF(B634=0,"",COUNTIFS('Extração'!P:P,"Igual",'Extração'!J:J,A634)/B634)</f>
        <v/>
      </c>
    </row>
    <row r="635">
      <c r="B635" s="12">
        <f>COUNTIF('Extração'!J:J,A635)</f>
        <v>0</v>
      </c>
      <c r="C635" s="12" t="str">
        <f>IF(B635=0,"",COUNTIFS('Extração'!N:N,"Sim",'Extração'!J:J,A635)/B635)</f>
        <v/>
      </c>
      <c r="D635" s="12" t="str">
        <f>IF(B635=0,"",COUNTIFS('Extração'!O:O,"Sim",'Extração'!J:J,A635)/B635)</f>
        <v/>
      </c>
      <c r="E635" s="12" t="str">
        <f>IF(B635=0,"",COUNTIFS('Extração'!N:N,"Parcialmente",'Extração'!J:J,A635)/B635)</f>
        <v/>
      </c>
      <c r="F635" s="12" t="str">
        <f>IF(B635=0,"",COUNTIFS('Extração'!O:O,"Parcialmente",'Extração'!J:J,A635)/B635)</f>
        <v/>
      </c>
      <c r="G635" s="12" t="str">
        <f>IF(B635=0,"",COUNTIFS('Extração'!N:N,"Não",'Extração'!J:J,A635)/B635)</f>
        <v/>
      </c>
      <c r="H635" s="12" t="str">
        <f>IF(B635=0,"",COUNTIFS('Extração'!O:O,"Não",'Extração'!J:J,A635)/B635)</f>
        <v/>
      </c>
      <c r="I635" s="12" t="str">
        <f>IF(B635=0,"",COUNTIFS('Extração'!P:P,"Igual",'Extração'!J:J,A635)/B635)</f>
        <v/>
      </c>
    </row>
    <row r="636">
      <c r="B636" s="12">
        <f>COUNTIF('Extração'!J:J,A636)</f>
        <v>0</v>
      </c>
      <c r="C636" s="12" t="str">
        <f>IF(B636=0,"",COUNTIFS('Extração'!N:N,"Sim",'Extração'!J:J,A636)/B636)</f>
        <v/>
      </c>
      <c r="D636" s="12" t="str">
        <f>IF(B636=0,"",COUNTIFS('Extração'!O:O,"Sim",'Extração'!J:J,A636)/B636)</f>
        <v/>
      </c>
      <c r="E636" s="12" t="str">
        <f>IF(B636=0,"",COUNTIFS('Extração'!N:N,"Parcialmente",'Extração'!J:J,A636)/B636)</f>
        <v/>
      </c>
      <c r="F636" s="12" t="str">
        <f>IF(B636=0,"",COUNTIFS('Extração'!O:O,"Parcialmente",'Extração'!J:J,A636)/B636)</f>
        <v/>
      </c>
      <c r="G636" s="12" t="str">
        <f>IF(B636=0,"",COUNTIFS('Extração'!N:N,"Não",'Extração'!J:J,A636)/B636)</f>
        <v/>
      </c>
      <c r="H636" s="12" t="str">
        <f>IF(B636=0,"",COUNTIFS('Extração'!O:O,"Não",'Extração'!J:J,A636)/B636)</f>
        <v/>
      </c>
      <c r="I636" s="12" t="str">
        <f>IF(B636=0,"",COUNTIFS('Extração'!P:P,"Igual",'Extração'!J:J,A636)/B636)</f>
        <v/>
      </c>
    </row>
    <row r="637">
      <c r="B637" s="12">
        <f>COUNTIF('Extração'!J:J,A637)</f>
        <v>0</v>
      </c>
      <c r="C637" s="12" t="str">
        <f>IF(B637=0,"",COUNTIFS('Extração'!N:N,"Sim",'Extração'!J:J,A637)/B637)</f>
        <v/>
      </c>
      <c r="D637" s="12" t="str">
        <f>IF(B637=0,"",COUNTIFS('Extração'!O:O,"Sim",'Extração'!J:J,A637)/B637)</f>
        <v/>
      </c>
      <c r="E637" s="12" t="str">
        <f>IF(B637=0,"",COUNTIFS('Extração'!N:N,"Parcialmente",'Extração'!J:J,A637)/B637)</f>
        <v/>
      </c>
      <c r="F637" s="12" t="str">
        <f>IF(B637=0,"",COUNTIFS('Extração'!O:O,"Parcialmente",'Extração'!J:J,A637)/B637)</f>
        <v/>
      </c>
      <c r="G637" s="12" t="str">
        <f>IF(B637=0,"",COUNTIFS('Extração'!N:N,"Não",'Extração'!J:J,A637)/B637)</f>
        <v/>
      </c>
      <c r="H637" s="12" t="str">
        <f>IF(B637=0,"",COUNTIFS('Extração'!O:O,"Não",'Extração'!J:J,A637)/B637)</f>
        <v/>
      </c>
      <c r="I637" s="12" t="str">
        <f>IF(B637=0,"",COUNTIFS('Extração'!P:P,"Igual",'Extração'!J:J,A637)/B637)</f>
        <v/>
      </c>
    </row>
    <row r="638">
      <c r="B638" s="12">
        <f>COUNTIF('Extração'!J:J,A638)</f>
        <v>0</v>
      </c>
      <c r="C638" s="12" t="str">
        <f>IF(B638=0,"",COUNTIFS('Extração'!N:N,"Sim",'Extração'!J:J,A638)/B638)</f>
        <v/>
      </c>
      <c r="D638" s="12" t="str">
        <f>IF(B638=0,"",COUNTIFS('Extração'!O:O,"Sim",'Extração'!J:J,A638)/B638)</f>
        <v/>
      </c>
      <c r="E638" s="12" t="str">
        <f>IF(B638=0,"",COUNTIFS('Extração'!N:N,"Parcialmente",'Extração'!J:J,A638)/B638)</f>
        <v/>
      </c>
      <c r="F638" s="12" t="str">
        <f>IF(B638=0,"",COUNTIFS('Extração'!O:O,"Parcialmente",'Extração'!J:J,A638)/B638)</f>
        <v/>
      </c>
      <c r="G638" s="12" t="str">
        <f>IF(B638=0,"",COUNTIFS('Extração'!N:N,"Não",'Extração'!J:J,A638)/B638)</f>
        <v/>
      </c>
      <c r="H638" s="12" t="str">
        <f>IF(B638=0,"",COUNTIFS('Extração'!O:O,"Não",'Extração'!J:J,A638)/B638)</f>
        <v/>
      </c>
      <c r="I638" s="12" t="str">
        <f>IF(B638=0,"",COUNTIFS('Extração'!P:P,"Igual",'Extração'!J:J,A638)/B638)</f>
        <v/>
      </c>
    </row>
    <row r="639">
      <c r="B639" s="12">
        <f>COUNTIF('Extração'!J:J,A639)</f>
        <v>0</v>
      </c>
      <c r="C639" s="12" t="str">
        <f>IF(B639=0,"",COUNTIFS('Extração'!N:N,"Sim",'Extração'!J:J,A639)/B639)</f>
        <v/>
      </c>
      <c r="D639" s="12" t="str">
        <f>IF(B639=0,"",COUNTIFS('Extração'!O:O,"Sim",'Extração'!J:J,A639)/B639)</f>
        <v/>
      </c>
      <c r="E639" s="12" t="str">
        <f>IF(B639=0,"",COUNTIFS('Extração'!N:N,"Parcialmente",'Extração'!J:J,A639)/B639)</f>
        <v/>
      </c>
      <c r="F639" s="12" t="str">
        <f>IF(B639=0,"",COUNTIFS('Extração'!O:O,"Parcialmente",'Extração'!J:J,A639)/B639)</f>
        <v/>
      </c>
      <c r="G639" s="12" t="str">
        <f>IF(B639=0,"",COUNTIFS('Extração'!N:N,"Não",'Extração'!J:J,A639)/B639)</f>
        <v/>
      </c>
      <c r="H639" s="12" t="str">
        <f>IF(B639=0,"",COUNTIFS('Extração'!O:O,"Não",'Extração'!J:J,A639)/B639)</f>
        <v/>
      </c>
      <c r="I639" s="12" t="str">
        <f>IF(B639=0,"",COUNTIFS('Extração'!P:P,"Igual",'Extração'!J:J,A639)/B639)</f>
        <v/>
      </c>
    </row>
    <row r="640">
      <c r="B640" s="12">
        <f>COUNTIF('Extração'!J:J,A640)</f>
        <v>0</v>
      </c>
      <c r="C640" s="12" t="str">
        <f>IF(B640=0,"",COUNTIFS('Extração'!N:N,"Sim",'Extração'!J:J,A640)/B640)</f>
        <v/>
      </c>
      <c r="D640" s="12" t="str">
        <f>IF(B640=0,"",COUNTIFS('Extração'!O:O,"Sim",'Extração'!J:J,A640)/B640)</f>
        <v/>
      </c>
      <c r="E640" s="12" t="str">
        <f>IF(B640=0,"",COUNTIFS('Extração'!N:N,"Parcialmente",'Extração'!J:J,A640)/B640)</f>
        <v/>
      </c>
      <c r="F640" s="12" t="str">
        <f>IF(B640=0,"",COUNTIFS('Extração'!O:O,"Parcialmente",'Extração'!J:J,A640)/B640)</f>
        <v/>
      </c>
      <c r="G640" s="12" t="str">
        <f>IF(B640=0,"",COUNTIFS('Extração'!N:N,"Não",'Extração'!J:J,A640)/B640)</f>
        <v/>
      </c>
      <c r="H640" s="12" t="str">
        <f>IF(B640=0,"",COUNTIFS('Extração'!O:O,"Não",'Extração'!J:J,A640)/B640)</f>
        <v/>
      </c>
      <c r="I640" s="12" t="str">
        <f>IF(B640=0,"",COUNTIFS('Extração'!P:P,"Igual",'Extração'!J:J,A640)/B640)</f>
        <v/>
      </c>
    </row>
    <row r="641">
      <c r="B641" s="12">
        <f>COUNTIF('Extração'!J:J,A641)</f>
        <v>0</v>
      </c>
      <c r="C641" s="12" t="str">
        <f>IF(B641=0,"",COUNTIFS('Extração'!N:N,"Sim",'Extração'!J:J,A641)/B641)</f>
        <v/>
      </c>
      <c r="D641" s="12" t="str">
        <f>IF(B641=0,"",COUNTIFS('Extração'!O:O,"Sim",'Extração'!J:J,A641)/B641)</f>
        <v/>
      </c>
      <c r="E641" s="12" t="str">
        <f>IF(B641=0,"",COUNTIFS('Extração'!N:N,"Parcialmente",'Extração'!J:J,A641)/B641)</f>
        <v/>
      </c>
      <c r="F641" s="12" t="str">
        <f>IF(B641=0,"",COUNTIFS('Extração'!O:O,"Parcialmente",'Extração'!J:J,A641)/B641)</f>
        <v/>
      </c>
      <c r="G641" s="12" t="str">
        <f>IF(B641=0,"",COUNTIFS('Extração'!N:N,"Não",'Extração'!J:J,A641)/B641)</f>
        <v/>
      </c>
      <c r="H641" s="12" t="str">
        <f>IF(B641=0,"",COUNTIFS('Extração'!O:O,"Não",'Extração'!J:J,A641)/B641)</f>
        <v/>
      </c>
      <c r="I641" s="12" t="str">
        <f>IF(B641=0,"",COUNTIFS('Extração'!P:P,"Igual",'Extração'!J:J,A641)/B641)</f>
        <v/>
      </c>
    </row>
    <row r="642">
      <c r="B642" s="12">
        <f>COUNTIF('Extração'!J:J,A642)</f>
        <v>0</v>
      </c>
      <c r="C642" s="12" t="str">
        <f>IF(B642=0,"",COUNTIFS('Extração'!N:N,"Sim",'Extração'!J:J,A642)/B642)</f>
        <v/>
      </c>
      <c r="D642" s="12" t="str">
        <f>IF(B642=0,"",COUNTIFS('Extração'!O:O,"Sim",'Extração'!J:J,A642)/B642)</f>
        <v/>
      </c>
      <c r="E642" s="12" t="str">
        <f>IF(B642=0,"",COUNTIFS('Extração'!N:N,"Parcialmente",'Extração'!J:J,A642)/B642)</f>
        <v/>
      </c>
      <c r="F642" s="12" t="str">
        <f>IF(B642=0,"",COUNTIFS('Extração'!O:O,"Parcialmente",'Extração'!J:J,A642)/B642)</f>
        <v/>
      </c>
      <c r="G642" s="12" t="str">
        <f>IF(B642=0,"",COUNTIFS('Extração'!N:N,"Não",'Extração'!J:J,A642)/B642)</f>
        <v/>
      </c>
      <c r="H642" s="12" t="str">
        <f>IF(B642=0,"",COUNTIFS('Extração'!O:O,"Não",'Extração'!J:J,A642)/B642)</f>
        <v/>
      </c>
      <c r="I642" s="12" t="str">
        <f>IF(B642=0,"",COUNTIFS('Extração'!P:P,"Igual",'Extração'!J:J,A642)/B642)</f>
        <v/>
      </c>
    </row>
    <row r="643">
      <c r="B643" s="12">
        <f>COUNTIF('Extração'!J:J,A643)</f>
        <v>0</v>
      </c>
      <c r="C643" s="12" t="str">
        <f>IF(B643=0,"",COUNTIFS('Extração'!N:N,"Sim",'Extração'!J:J,A643)/B643)</f>
        <v/>
      </c>
      <c r="D643" s="12" t="str">
        <f>IF(B643=0,"",COUNTIFS('Extração'!O:O,"Sim",'Extração'!J:J,A643)/B643)</f>
        <v/>
      </c>
      <c r="E643" s="12" t="str">
        <f>IF(B643=0,"",COUNTIFS('Extração'!N:N,"Parcialmente",'Extração'!J:J,A643)/B643)</f>
        <v/>
      </c>
      <c r="F643" s="12" t="str">
        <f>IF(B643=0,"",COUNTIFS('Extração'!O:O,"Parcialmente",'Extração'!J:J,A643)/B643)</f>
        <v/>
      </c>
      <c r="G643" s="12" t="str">
        <f>IF(B643=0,"",COUNTIFS('Extração'!N:N,"Não",'Extração'!J:J,A643)/B643)</f>
        <v/>
      </c>
      <c r="H643" s="12" t="str">
        <f>IF(B643=0,"",COUNTIFS('Extração'!O:O,"Não",'Extração'!J:J,A643)/B643)</f>
        <v/>
      </c>
      <c r="I643" s="12" t="str">
        <f>IF(B643=0,"",COUNTIFS('Extração'!P:P,"Igual",'Extração'!J:J,A643)/B643)</f>
        <v/>
      </c>
    </row>
    <row r="644">
      <c r="B644" s="12">
        <f>COUNTIF('Extração'!J:J,A644)</f>
        <v>0</v>
      </c>
      <c r="C644" s="12" t="str">
        <f>IF(B644=0,"",COUNTIFS('Extração'!N:N,"Sim",'Extração'!J:J,A644)/B644)</f>
        <v/>
      </c>
      <c r="D644" s="12" t="str">
        <f>IF(B644=0,"",COUNTIFS('Extração'!O:O,"Sim",'Extração'!J:J,A644)/B644)</f>
        <v/>
      </c>
      <c r="E644" s="12" t="str">
        <f>IF(B644=0,"",COUNTIFS('Extração'!N:N,"Parcialmente",'Extração'!J:J,A644)/B644)</f>
        <v/>
      </c>
      <c r="F644" s="12" t="str">
        <f>IF(B644=0,"",COUNTIFS('Extração'!O:O,"Parcialmente",'Extração'!J:J,A644)/B644)</f>
        <v/>
      </c>
      <c r="G644" s="12" t="str">
        <f>IF(B644=0,"",COUNTIFS('Extração'!N:N,"Não",'Extração'!J:J,A644)/B644)</f>
        <v/>
      </c>
      <c r="H644" s="12" t="str">
        <f>IF(B644=0,"",COUNTIFS('Extração'!O:O,"Não",'Extração'!J:J,A644)/B644)</f>
        <v/>
      </c>
      <c r="I644" s="12" t="str">
        <f>IF(B644=0,"",COUNTIFS('Extração'!P:P,"Igual",'Extração'!J:J,A644)/B644)</f>
        <v/>
      </c>
    </row>
    <row r="645">
      <c r="B645" s="12">
        <f>COUNTIF('Extração'!J:J,A645)</f>
        <v>0</v>
      </c>
      <c r="C645" s="12" t="str">
        <f>IF(B645=0,"",COUNTIFS('Extração'!N:N,"Sim",'Extração'!J:J,A645)/B645)</f>
        <v/>
      </c>
      <c r="D645" s="12" t="str">
        <f>IF(B645=0,"",COUNTIFS('Extração'!O:O,"Sim",'Extração'!J:J,A645)/B645)</f>
        <v/>
      </c>
      <c r="E645" s="12" t="str">
        <f>IF(B645=0,"",COUNTIFS('Extração'!N:N,"Parcialmente",'Extração'!J:J,A645)/B645)</f>
        <v/>
      </c>
      <c r="F645" s="12" t="str">
        <f>IF(B645=0,"",COUNTIFS('Extração'!O:O,"Parcialmente",'Extração'!J:J,A645)/B645)</f>
        <v/>
      </c>
      <c r="G645" s="12" t="str">
        <f>IF(B645=0,"",COUNTIFS('Extração'!N:N,"Não",'Extração'!J:J,A645)/B645)</f>
        <v/>
      </c>
      <c r="H645" s="12" t="str">
        <f>IF(B645=0,"",COUNTIFS('Extração'!O:O,"Não",'Extração'!J:J,A645)/B645)</f>
        <v/>
      </c>
      <c r="I645" s="12" t="str">
        <f>IF(B645=0,"",COUNTIFS('Extração'!P:P,"Igual",'Extração'!J:J,A645)/B645)</f>
        <v/>
      </c>
    </row>
    <row r="646">
      <c r="B646" s="12">
        <f>COUNTIF('Extração'!J:J,A646)</f>
        <v>0</v>
      </c>
      <c r="C646" s="12" t="str">
        <f>IF(B646=0,"",COUNTIFS('Extração'!N:N,"Sim",'Extração'!J:J,A646)/B646)</f>
        <v/>
      </c>
      <c r="D646" s="12" t="str">
        <f>IF(B646=0,"",COUNTIFS('Extração'!O:O,"Sim",'Extração'!J:J,A646)/B646)</f>
        <v/>
      </c>
      <c r="E646" s="12" t="str">
        <f>IF(B646=0,"",COUNTIFS('Extração'!N:N,"Parcialmente",'Extração'!J:J,A646)/B646)</f>
        <v/>
      </c>
      <c r="F646" s="12" t="str">
        <f>IF(B646=0,"",COUNTIFS('Extração'!O:O,"Parcialmente",'Extração'!J:J,A646)/B646)</f>
        <v/>
      </c>
      <c r="G646" s="12" t="str">
        <f>IF(B646=0,"",COUNTIFS('Extração'!N:N,"Não",'Extração'!J:J,A646)/B646)</f>
        <v/>
      </c>
      <c r="H646" s="12" t="str">
        <f>IF(B646=0,"",COUNTIFS('Extração'!O:O,"Não",'Extração'!J:J,A646)/B646)</f>
        <v/>
      </c>
      <c r="I646" s="12" t="str">
        <f>IF(B646=0,"",COUNTIFS('Extração'!P:P,"Igual",'Extração'!J:J,A646)/B646)</f>
        <v/>
      </c>
    </row>
    <row r="647">
      <c r="B647" s="12">
        <f>COUNTIF('Extração'!J:J,A647)</f>
        <v>0</v>
      </c>
      <c r="C647" s="12" t="str">
        <f>IF(B647=0,"",COUNTIFS('Extração'!N:N,"Sim",'Extração'!J:J,A647)/B647)</f>
        <v/>
      </c>
      <c r="D647" s="12" t="str">
        <f>IF(B647=0,"",COUNTIFS('Extração'!O:O,"Sim",'Extração'!J:J,A647)/B647)</f>
        <v/>
      </c>
      <c r="E647" s="12" t="str">
        <f>IF(B647=0,"",COUNTIFS('Extração'!N:N,"Parcialmente",'Extração'!J:J,A647)/B647)</f>
        <v/>
      </c>
      <c r="F647" s="12" t="str">
        <f>IF(B647=0,"",COUNTIFS('Extração'!O:O,"Parcialmente",'Extração'!J:J,A647)/B647)</f>
        <v/>
      </c>
      <c r="G647" s="12" t="str">
        <f>IF(B647=0,"",COUNTIFS('Extração'!N:N,"Não",'Extração'!J:J,A647)/B647)</f>
        <v/>
      </c>
      <c r="H647" s="12" t="str">
        <f>IF(B647=0,"",COUNTIFS('Extração'!O:O,"Não",'Extração'!J:J,A647)/B647)</f>
        <v/>
      </c>
      <c r="I647" s="12" t="str">
        <f>IF(B647=0,"",COUNTIFS('Extração'!P:P,"Igual",'Extração'!J:J,A647)/B647)</f>
        <v/>
      </c>
    </row>
    <row r="648">
      <c r="B648" s="12">
        <f>COUNTIF('Extração'!J:J,A648)</f>
        <v>0</v>
      </c>
      <c r="C648" s="12" t="str">
        <f>IF(B648=0,"",COUNTIFS('Extração'!N:N,"Sim",'Extração'!J:J,A648)/B648)</f>
        <v/>
      </c>
      <c r="D648" s="12" t="str">
        <f>IF(B648=0,"",COUNTIFS('Extração'!O:O,"Sim",'Extração'!J:J,A648)/B648)</f>
        <v/>
      </c>
      <c r="E648" s="12" t="str">
        <f>IF(B648=0,"",COUNTIFS('Extração'!N:N,"Parcialmente",'Extração'!J:J,A648)/B648)</f>
        <v/>
      </c>
      <c r="F648" s="12" t="str">
        <f>IF(B648=0,"",COUNTIFS('Extração'!O:O,"Parcialmente",'Extração'!J:J,A648)/B648)</f>
        <v/>
      </c>
      <c r="G648" s="12" t="str">
        <f>IF(B648=0,"",COUNTIFS('Extração'!N:N,"Não",'Extração'!J:J,A648)/B648)</f>
        <v/>
      </c>
      <c r="H648" s="12" t="str">
        <f>IF(B648=0,"",COUNTIFS('Extração'!O:O,"Não",'Extração'!J:J,A648)/B648)</f>
        <v/>
      </c>
      <c r="I648" s="12" t="str">
        <f>IF(B648=0,"",COUNTIFS('Extração'!P:P,"Igual",'Extração'!J:J,A648)/B648)</f>
        <v/>
      </c>
    </row>
    <row r="649">
      <c r="B649" s="12">
        <f>COUNTIF('Extração'!J:J,A649)</f>
        <v>0</v>
      </c>
      <c r="C649" s="12" t="str">
        <f>IF(B649=0,"",COUNTIFS('Extração'!N:N,"Sim",'Extração'!J:J,A649)/B649)</f>
        <v/>
      </c>
      <c r="D649" s="12" t="str">
        <f>IF(B649=0,"",COUNTIFS('Extração'!O:O,"Sim",'Extração'!J:J,A649)/B649)</f>
        <v/>
      </c>
      <c r="E649" s="12" t="str">
        <f>IF(B649=0,"",COUNTIFS('Extração'!N:N,"Parcialmente",'Extração'!J:J,A649)/B649)</f>
        <v/>
      </c>
      <c r="F649" s="12" t="str">
        <f>IF(B649=0,"",COUNTIFS('Extração'!O:O,"Parcialmente",'Extração'!J:J,A649)/B649)</f>
        <v/>
      </c>
      <c r="G649" s="12" t="str">
        <f>IF(B649=0,"",COUNTIFS('Extração'!N:N,"Não",'Extração'!J:J,A649)/B649)</f>
        <v/>
      </c>
      <c r="H649" s="12" t="str">
        <f>IF(B649=0,"",COUNTIFS('Extração'!O:O,"Não",'Extração'!J:J,A649)/B649)</f>
        <v/>
      </c>
      <c r="I649" s="12" t="str">
        <f>IF(B649=0,"",COUNTIFS('Extração'!P:P,"Igual",'Extração'!J:J,A649)/B649)</f>
        <v/>
      </c>
    </row>
    <row r="650">
      <c r="B650" s="12">
        <f>COUNTIF('Extração'!J:J,A650)</f>
        <v>0</v>
      </c>
      <c r="C650" s="12" t="str">
        <f>IF(B650=0,"",COUNTIFS('Extração'!N:N,"Sim",'Extração'!J:J,A650)/B650)</f>
        <v/>
      </c>
      <c r="D650" s="12" t="str">
        <f>IF(B650=0,"",COUNTIFS('Extração'!O:O,"Sim",'Extração'!J:J,A650)/B650)</f>
        <v/>
      </c>
      <c r="E650" s="12" t="str">
        <f>IF(B650=0,"",COUNTIFS('Extração'!N:N,"Parcialmente",'Extração'!J:J,A650)/B650)</f>
        <v/>
      </c>
      <c r="F650" s="12" t="str">
        <f>IF(B650=0,"",COUNTIFS('Extração'!O:O,"Parcialmente",'Extração'!J:J,A650)/B650)</f>
        <v/>
      </c>
      <c r="G650" s="12" t="str">
        <f>IF(B650=0,"",COUNTIFS('Extração'!N:N,"Não",'Extração'!J:J,A650)/B650)</f>
        <v/>
      </c>
      <c r="H650" s="12" t="str">
        <f>IF(B650=0,"",COUNTIFS('Extração'!O:O,"Não",'Extração'!J:J,A650)/B650)</f>
        <v/>
      </c>
      <c r="I650" s="12" t="str">
        <f>IF(B650=0,"",COUNTIFS('Extração'!P:P,"Igual",'Extração'!J:J,A650)/B650)</f>
        <v/>
      </c>
    </row>
    <row r="651">
      <c r="B651" s="12">
        <f>COUNTIF('Extração'!J:J,A651)</f>
        <v>0</v>
      </c>
      <c r="C651" s="12" t="str">
        <f>IF(B651=0,"",COUNTIFS('Extração'!N:N,"Sim",'Extração'!J:J,A651)/B651)</f>
        <v/>
      </c>
      <c r="D651" s="12" t="str">
        <f>IF(B651=0,"",COUNTIFS('Extração'!O:O,"Sim",'Extração'!J:J,A651)/B651)</f>
        <v/>
      </c>
      <c r="E651" s="12" t="str">
        <f>IF(B651=0,"",COUNTIFS('Extração'!N:N,"Parcialmente",'Extração'!J:J,A651)/B651)</f>
        <v/>
      </c>
      <c r="F651" s="12" t="str">
        <f>IF(B651=0,"",COUNTIFS('Extração'!O:O,"Parcialmente",'Extração'!J:J,A651)/B651)</f>
        <v/>
      </c>
      <c r="G651" s="12" t="str">
        <f>IF(B651=0,"",COUNTIFS('Extração'!N:N,"Não",'Extração'!J:J,A651)/B651)</f>
        <v/>
      </c>
      <c r="H651" s="12" t="str">
        <f>IF(B651=0,"",COUNTIFS('Extração'!O:O,"Não",'Extração'!J:J,A651)/B651)</f>
        <v/>
      </c>
      <c r="I651" s="12" t="str">
        <f>IF(B651=0,"",COUNTIFS('Extração'!P:P,"Igual",'Extração'!J:J,A651)/B651)</f>
        <v/>
      </c>
    </row>
    <row r="652">
      <c r="B652" s="12">
        <f>COUNTIF('Extração'!J:J,A652)</f>
        <v>0</v>
      </c>
      <c r="C652" s="12" t="str">
        <f>IF(B652=0,"",COUNTIFS('Extração'!N:N,"Sim",'Extração'!J:J,A652)/B652)</f>
        <v/>
      </c>
      <c r="D652" s="12" t="str">
        <f>IF(B652=0,"",COUNTIFS('Extração'!O:O,"Sim",'Extração'!J:J,A652)/B652)</f>
        <v/>
      </c>
      <c r="E652" s="12" t="str">
        <f>IF(B652=0,"",COUNTIFS('Extração'!N:N,"Parcialmente",'Extração'!J:J,A652)/B652)</f>
        <v/>
      </c>
      <c r="F652" s="12" t="str">
        <f>IF(B652=0,"",COUNTIFS('Extração'!O:O,"Parcialmente",'Extração'!J:J,A652)/B652)</f>
        <v/>
      </c>
      <c r="G652" s="12" t="str">
        <f>IF(B652=0,"",COUNTIFS('Extração'!N:N,"Não",'Extração'!J:J,A652)/B652)</f>
        <v/>
      </c>
      <c r="H652" s="12" t="str">
        <f>IF(B652=0,"",COUNTIFS('Extração'!O:O,"Não",'Extração'!J:J,A652)/B652)</f>
        <v/>
      </c>
      <c r="I652" s="12" t="str">
        <f>IF(B652=0,"",COUNTIFS('Extração'!P:P,"Igual",'Extração'!J:J,A652)/B652)</f>
        <v/>
      </c>
    </row>
    <row r="653">
      <c r="B653" s="12">
        <f>COUNTIF('Extração'!J:J,A653)</f>
        <v>0</v>
      </c>
      <c r="C653" s="12" t="str">
        <f>IF(B653=0,"",COUNTIFS('Extração'!N:N,"Sim",'Extração'!J:J,A653)/B653)</f>
        <v/>
      </c>
      <c r="D653" s="12" t="str">
        <f>IF(B653=0,"",COUNTIFS('Extração'!O:O,"Sim",'Extração'!J:J,A653)/B653)</f>
        <v/>
      </c>
      <c r="E653" s="12" t="str">
        <f>IF(B653=0,"",COUNTIFS('Extração'!N:N,"Parcialmente",'Extração'!J:J,A653)/B653)</f>
        <v/>
      </c>
      <c r="F653" s="12" t="str">
        <f>IF(B653=0,"",COUNTIFS('Extração'!O:O,"Parcialmente",'Extração'!J:J,A653)/B653)</f>
        <v/>
      </c>
      <c r="G653" s="12" t="str">
        <f>IF(B653=0,"",COUNTIFS('Extração'!N:N,"Não",'Extração'!J:J,A653)/B653)</f>
        <v/>
      </c>
      <c r="H653" s="12" t="str">
        <f>IF(B653=0,"",COUNTIFS('Extração'!O:O,"Não",'Extração'!J:J,A653)/B653)</f>
        <v/>
      </c>
      <c r="I653" s="12" t="str">
        <f>IF(B653=0,"",COUNTIFS('Extração'!P:P,"Igual",'Extração'!J:J,A653)/B653)</f>
        <v/>
      </c>
    </row>
    <row r="654">
      <c r="B654" s="12">
        <f>COUNTIF('Extração'!J:J,A654)</f>
        <v>0</v>
      </c>
      <c r="C654" s="12" t="str">
        <f>IF(B654=0,"",COUNTIFS('Extração'!N:N,"Sim",'Extração'!J:J,A654)/B654)</f>
        <v/>
      </c>
      <c r="D654" s="12" t="str">
        <f>IF(B654=0,"",COUNTIFS('Extração'!O:O,"Sim",'Extração'!J:J,A654)/B654)</f>
        <v/>
      </c>
      <c r="E654" s="12" t="str">
        <f>IF(B654=0,"",COUNTIFS('Extração'!N:N,"Parcialmente",'Extração'!J:J,A654)/B654)</f>
        <v/>
      </c>
      <c r="F654" s="12" t="str">
        <f>IF(B654=0,"",COUNTIFS('Extração'!O:O,"Parcialmente",'Extração'!J:J,A654)/B654)</f>
        <v/>
      </c>
      <c r="G654" s="12" t="str">
        <f>IF(B654=0,"",COUNTIFS('Extração'!N:N,"Não",'Extração'!J:J,A654)/B654)</f>
        <v/>
      </c>
      <c r="H654" s="12" t="str">
        <f>IF(B654=0,"",COUNTIFS('Extração'!O:O,"Não",'Extração'!J:J,A654)/B654)</f>
        <v/>
      </c>
      <c r="I654" s="12" t="str">
        <f>IF(B654=0,"",COUNTIFS('Extração'!P:P,"Igual",'Extração'!J:J,A654)/B654)</f>
        <v/>
      </c>
    </row>
    <row r="655">
      <c r="B655" s="12">
        <f>COUNTIF('Extração'!J:J,A655)</f>
        <v>0</v>
      </c>
      <c r="C655" s="12" t="str">
        <f>IF(B655=0,"",COUNTIFS('Extração'!N:N,"Sim",'Extração'!J:J,A655)/B655)</f>
        <v/>
      </c>
      <c r="D655" s="12" t="str">
        <f>IF(B655=0,"",COUNTIFS('Extração'!O:O,"Sim",'Extração'!J:J,A655)/B655)</f>
        <v/>
      </c>
      <c r="E655" s="12" t="str">
        <f>IF(B655=0,"",COUNTIFS('Extração'!N:N,"Parcialmente",'Extração'!J:J,A655)/B655)</f>
        <v/>
      </c>
      <c r="F655" s="12" t="str">
        <f>IF(B655=0,"",COUNTIFS('Extração'!O:O,"Parcialmente",'Extração'!J:J,A655)/B655)</f>
        <v/>
      </c>
      <c r="G655" s="12" t="str">
        <f>IF(B655=0,"",COUNTIFS('Extração'!N:N,"Não",'Extração'!J:J,A655)/B655)</f>
        <v/>
      </c>
      <c r="H655" s="12" t="str">
        <f>IF(B655=0,"",COUNTIFS('Extração'!O:O,"Não",'Extração'!J:J,A655)/B655)</f>
        <v/>
      </c>
      <c r="I655" s="12" t="str">
        <f>IF(B655=0,"",COUNTIFS('Extração'!P:P,"Igual",'Extração'!J:J,A655)/B655)</f>
        <v/>
      </c>
    </row>
    <row r="656">
      <c r="B656" s="12">
        <f>COUNTIF('Extração'!J:J,A656)</f>
        <v>0</v>
      </c>
      <c r="C656" s="12" t="str">
        <f>IF(B656=0,"",COUNTIFS('Extração'!N:N,"Sim",'Extração'!J:J,A656)/B656)</f>
        <v/>
      </c>
      <c r="D656" s="12" t="str">
        <f>IF(B656=0,"",COUNTIFS('Extração'!O:O,"Sim",'Extração'!J:J,A656)/B656)</f>
        <v/>
      </c>
      <c r="E656" s="12" t="str">
        <f>IF(B656=0,"",COUNTIFS('Extração'!N:N,"Parcialmente",'Extração'!J:J,A656)/B656)</f>
        <v/>
      </c>
      <c r="F656" s="12" t="str">
        <f>IF(B656=0,"",COUNTIFS('Extração'!O:O,"Parcialmente",'Extração'!J:J,A656)/B656)</f>
        <v/>
      </c>
      <c r="G656" s="12" t="str">
        <f>IF(B656=0,"",COUNTIFS('Extração'!N:N,"Não",'Extração'!J:J,A656)/B656)</f>
        <v/>
      </c>
      <c r="H656" s="12" t="str">
        <f>IF(B656=0,"",COUNTIFS('Extração'!O:O,"Não",'Extração'!J:J,A656)/B656)</f>
        <v/>
      </c>
      <c r="I656" s="12" t="str">
        <f>IF(B656=0,"",COUNTIFS('Extração'!P:P,"Igual",'Extração'!J:J,A656)/B656)</f>
        <v/>
      </c>
    </row>
    <row r="657">
      <c r="B657" s="12">
        <f>COUNTIF('Extração'!J:J,A657)</f>
        <v>0</v>
      </c>
      <c r="C657" s="12" t="str">
        <f>IF(B657=0,"",COUNTIFS('Extração'!N:N,"Sim",'Extração'!J:J,A657)/B657)</f>
        <v/>
      </c>
      <c r="D657" s="12" t="str">
        <f>IF(B657=0,"",COUNTIFS('Extração'!O:O,"Sim",'Extração'!J:J,A657)/B657)</f>
        <v/>
      </c>
      <c r="E657" s="12" t="str">
        <f>IF(B657=0,"",COUNTIFS('Extração'!N:N,"Parcialmente",'Extração'!J:J,A657)/B657)</f>
        <v/>
      </c>
      <c r="F657" s="12" t="str">
        <f>IF(B657=0,"",COUNTIFS('Extração'!O:O,"Parcialmente",'Extração'!J:J,A657)/B657)</f>
        <v/>
      </c>
      <c r="G657" s="12" t="str">
        <f>IF(B657=0,"",COUNTIFS('Extração'!N:N,"Não",'Extração'!J:J,A657)/B657)</f>
        <v/>
      </c>
      <c r="H657" s="12" t="str">
        <f>IF(B657=0,"",COUNTIFS('Extração'!O:O,"Não",'Extração'!J:J,A657)/B657)</f>
        <v/>
      </c>
      <c r="I657" s="12" t="str">
        <f>IF(B657=0,"",COUNTIFS('Extração'!P:P,"Igual",'Extração'!J:J,A657)/B657)</f>
        <v/>
      </c>
    </row>
    <row r="658">
      <c r="B658" s="12">
        <f>COUNTIF('Extração'!J:J,A658)</f>
        <v>0</v>
      </c>
      <c r="C658" s="12" t="str">
        <f>IF(B658=0,"",COUNTIFS('Extração'!N:N,"Sim",'Extração'!J:J,A658)/B658)</f>
        <v/>
      </c>
      <c r="D658" s="12" t="str">
        <f>IF(B658=0,"",COUNTIFS('Extração'!O:O,"Sim",'Extração'!J:J,A658)/B658)</f>
        <v/>
      </c>
      <c r="E658" s="12" t="str">
        <f>IF(B658=0,"",COUNTIFS('Extração'!N:N,"Parcialmente",'Extração'!J:J,A658)/B658)</f>
        <v/>
      </c>
      <c r="F658" s="12" t="str">
        <f>IF(B658=0,"",COUNTIFS('Extração'!O:O,"Parcialmente",'Extração'!J:J,A658)/B658)</f>
        <v/>
      </c>
      <c r="G658" s="12" t="str">
        <f>IF(B658=0,"",COUNTIFS('Extração'!N:N,"Não",'Extração'!J:J,A658)/B658)</f>
        <v/>
      </c>
      <c r="H658" s="12" t="str">
        <f>IF(B658=0,"",COUNTIFS('Extração'!O:O,"Não",'Extração'!J:J,A658)/B658)</f>
        <v/>
      </c>
      <c r="I658" s="12" t="str">
        <f>IF(B658=0,"",COUNTIFS('Extração'!P:P,"Igual",'Extração'!J:J,A658)/B658)</f>
        <v/>
      </c>
    </row>
    <row r="659">
      <c r="B659" s="12">
        <f>COUNTIF('Extração'!J:J,A659)</f>
        <v>0</v>
      </c>
      <c r="C659" s="12" t="str">
        <f>IF(B659=0,"",COUNTIFS('Extração'!N:N,"Sim",'Extração'!J:J,A659)/B659)</f>
        <v/>
      </c>
      <c r="D659" s="12" t="str">
        <f>IF(B659=0,"",COUNTIFS('Extração'!O:O,"Sim",'Extração'!J:J,A659)/B659)</f>
        <v/>
      </c>
      <c r="E659" s="12" t="str">
        <f>IF(B659=0,"",COUNTIFS('Extração'!N:N,"Parcialmente",'Extração'!J:J,A659)/B659)</f>
        <v/>
      </c>
      <c r="F659" s="12" t="str">
        <f>IF(B659=0,"",COUNTIFS('Extração'!O:O,"Parcialmente",'Extração'!J:J,A659)/B659)</f>
        <v/>
      </c>
      <c r="G659" s="12" t="str">
        <f>IF(B659=0,"",COUNTIFS('Extração'!N:N,"Não",'Extração'!J:J,A659)/B659)</f>
        <v/>
      </c>
      <c r="H659" s="12" t="str">
        <f>IF(B659=0,"",COUNTIFS('Extração'!O:O,"Não",'Extração'!J:J,A659)/B659)</f>
        <v/>
      </c>
      <c r="I659" s="12" t="str">
        <f>IF(B659=0,"",COUNTIFS('Extração'!P:P,"Igual",'Extração'!J:J,A659)/B659)</f>
        <v/>
      </c>
    </row>
    <row r="660">
      <c r="B660" s="12">
        <f>COUNTIF('Extração'!J:J,A660)</f>
        <v>0</v>
      </c>
      <c r="C660" s="12" t="str">
        <f>IF(B660=0,"",COUNTIFS('Extração'!N:N,"Sim",'Extração'!J:J,A660)/B660)</f>
        <v/>
      </c>
      <c r="D660" s="12" t="str">
        <f>IF(B660=0,"",COUNTIFS('Extração'!O:O,"Sim",'Extração'!J:J,A660)/B660)</f>
        <v/>
      </c>
      <c r="E660" s="12" t="str">
        <f>IF(B660=0,"",COUNTIFS('Extração'!N:N,"Parcialmente",'Extração'!J:J,A660)/B660)</f>
        <v/>
      </c>
      <c r="F660" s="12" t="str">
        <f>IF(B660=0,"",COUNTIFS('Extração'!O:O,"Parcialmente",'Extração'!J:J,A660)/B660)</f>
        <v/>
      </c>
      <c r="G660" s="12" t="str">
        <f>IF(B660=0,"",COUNTIFS('Extração'!N:N,"Não",'Extração'!J:J,A660)/B660)</f>
        <v/>
      </c>
      <c r="H660" s="12" t="str">
        <f>IF(B660=0,"",COUNTIFS('Extração'!O:O,"Não",'Extração'!J:J,A660)/B660)</f>
        <v/>
      </c>
      <c r="I660" s="12" t="str">
        <f>IF(B660=0,"",COUNTIFS('Extração'!P:P,"Igual",'Extração'!J:J,A660)/B660)</f>
        <v/>
      </c>
    </row>
    <row r="661">
      <c r="B661" s="12">
        <f>COUNTIF('Extração'!J:J,A661)</f>
        <v>0</v>
      </c>
      <c r="C661" s="12" t="str">
        <f>IF(B661=0,"",COUNTIFS('Extração'!N:N,"Sim",'Extração'!J:J,A661)/B661)</f>
        <v/>
      </c>
      <c r="D661" s="12" t="str">
        <f>IF(B661=0,"",COUNTIFS('Extração'!O:O,"Sim",'Extração'!J:J,A661)/B661)</f>
        <v/>
      </c>
      <c r="E661" s="12" t="str">
        <f>IF(B661=0,"",COUNTIFS('Extração'!N:N,"Parcialmente",'Extração'!J:J,A661)/B661)</f>
        <v/>
      </c>
      <c r="F661" s="12" t="str">
        <f>IF(B661=0,"",COUNTIFS('Extração'!O:O,"Parcialmente",'Extração'!J:J,A661)/B661)</f>
        <v/>
      </c>
      <c r="G661" s="12" t="str">
        <f>IF(B661=0,"",COUNTIFS('Extração'!N:N,"Não",'Extração'!J:J,A661)/B661)</f>
        <v/>
      </c>
      <c r="H661" s="12" t="str">
        <f>IF(B661=0,"",COUNTIFS('Extração'!O:O,"Não",'Extração'!J:J,A661)/B661)</f>
        <v/>
      </c>
      <c r="I661" s="12" t="str">
        <f>IF(B661=0,"",COUNTIFS('Extração'!P:P,"Igual",'Extração'!J:J,A661)/B661)</f>
        <v/>
      </c>
    </row>
    <row r="662">
      <c r="B662" s="12">
        <f>COUNTIF('Extração'!J:J,A662)</f>
        <v>0</v>
      </c>
      <c r="C662" s="12" t="str">
        <f>IF(B662=0,"",COUNTIFS('Extração'!N:N,"Sim",'Extração'!J:J,A662)/B662)</f>
        <v/>
      </c>
      <c r="D662" s="12" t="str">
        <f>IF(B662=0,"",COUNTIFS('Extração'!O:O,"Sim",'Extração'!J:J,A662)/B662)</f>
        <v/>
      </c>
      <c r="E662" s="12" t="str">
        <f>IF(B662=0,"",COUNTIFS('Extração'!N:N,"Parcialmente",'Extração'!J:J,A662)/B662)</f>
        <v/>
      </c>
      <c r="F662" s="12" t="str">
        <f>IF(B662=0,"",COUNTIFS('Extração'!O:O,"Parcialmente",'Extração'!J:J,A662)/B662)</f>
        <v/>
      </c>
      <c r="G662" s="12" t="str">
        <f>IF(B662=0,"",COUNTIFS('Extração'!N:N,"Não",'Extração'!J:J,A662)/B662)</f>
        <v/>
      </c>
      <c r="H662" s="12" t="str">
        <f>IF(B662=0,"",COUNTIFS('Extração'!O:O,"Não",'Extração'!J:J,A662)/B662)</f>
        <v/>
      </c>
      <c r="I662" s="12" t="str">
        <f>IF(B662=0,"",COUNTIFS('Extração'!P:P,"Igual",'Extração'!J:J,A662)/B662)</f>
        <v/>
      </c>
    </row>
    <row r="663">
      <c r="B663" s="12">
        <f>COUNTIF('Extração'!J:J,A663)</f>
        <v>0</v>
      </c>
      <c r="C663" s="12" t="str">
        <f>IF(B663=0,"",COUNTIFS('Extração'!N:N,"Sim",'Extração'!J:J,A663)/B663)</f>
        <v/>
      </c>
      <c r="D663" s="12" t="str">
        <f>IF(B663=0,"",COUNTIFS('Extração'!O:O,"Sim",'Extração'!J:J,A663)/B663)</f>
        <v/>
      </c>
      <c r="E663" s="12" t="str">
        <f>IF(B663=0,"",COUNTIFS('Extração'!N:N,"Parcialmente",'Extração'!J:J,A663)/B663)</f>
        <v/>
      </c>
      <c r="F663" s="12" t="str">
        <f>IF(B663=0,"",COUNTIFS('Extração'!O:O,"Parcialmente",'Extração'!J:J,A663)/B663)</f>
        <v/>
      </c>
      <c r="G663" s="12" t="str">
        <f>IF(B663=0,"",COUNTIFS('Extração'!N:N,"Não",'Extração'!J:J,A663)/B663)</f>
        <v/>
      </c>
      <c r="H663" s="12" t="str">
        <f>IF(B663=0,"",COUNTIFS('Extração'!O:O,"Não",'Extração'!J:J,A663)/B663)</f>
        <v/>
      </c>
      <c r="I663" s="12" t="str">
        <f>IF(B663=0,"",COUNTIFS('Extração'!P:P,"Igual",'Extração'!J:J,A663)/B663)</f>
        <v/>
      </c>
    </row>
    <row r="664">
      <c r="B664" s="12">
        <f>COUNTIF('Extração'!J:J,A664)</f>
        <v>0</v>
      </c>
      <c r="C664" s="12" t="str">
        <f>IF(B664=0,"",COUNTIFS('Extração'!N:N,"Sim",'Extração'!J:J,A664)/B664)</f>
        <v/>
      </c>
      <c r="D664" s="12" t="str">
        <f>IF(B664=0,"",COUNTIFS('Extração'!O:O,"Sim",'Extração'!J:J,A664)/B664)</f>
        <v/>
      </c>
      <c r="E664" s="12" t="str">
        <f>IF(B664=0,"",COUNTIFS('Extração'!N:N,"Parcialmente",'Extração'!J:J,A664)/B664)</f>
        <v/>
      </c>
      <c r="F664" s="12" t="str">
        <f>IF(B664=0,"",COUNTIFS('Extração'!O:O,"Parcialmente",'Extração'!J:J,A664)/B664)</f>
        <v/>
      </c>
      <c r="G664" s="12" t="str">
        <f>IF(B664=0,"",COUNTIFS('Extração'!N:N,"Não",'Extração'!J:J,A664)/B664)</f>
        <v/>
      </c>
      <c r="H664" s="12" t="str">
        <f>IF(B664=0,"",COUNTIFS('Extração'!O:O,"Não",'Extração'!J:J,A664)/B664)</f>
        <v/>
      </c>
      <c r="I664" s="12" t="str">
        <f>IF(B664=0,"",COUNTIFS('Extração'!P:P,"Igual",'Extração'!J:J,A664)/B664)</f>
        <v/>
      </c>
    </row>
    <row r="665">
      <c r="B665" s="12">
        <f>COUNTIF('Extração'!J:J,A665)</f>
        <v>0</v>
      </c>
      <c r="C665" s="12" t="str">
        <f>IF(B665=0,"",COUNTIFS('Extração'!N:N,"Sim",'Extração'!J:J,A665)/B665)</f>
        <v/>
      </c>
      <c r="D665" s="12" t="str">
        <f>IF(B665=0,"",COUNTIFS('Extração'!O:O,"Sim",'Extração'!J:J,A665)/B665)</f>
        <v/>
      </c>
      <c r="E665" s="12" t="str">
        <f>IF(B665=0,"",COUNTIFS('Extração'!N:N,"Parcialmente",'Extração'!J:J,A665)/B665)</f>
        <v/>
      </c>
      <c r="F665" s="12" t="str">
        <f>IF(B665=0,"",COUNTIFS('Extração'!O:O,"Parcialmente",'Extração'!J:J,A665)/B665)</f>
        <v/>
      </c>
      <c r="G665" s="12" t="str">
        <f>IF(B665=0,"",COUNTIFS('Extração'!N:N,"Não",'Extração'!J:J,A665)/B665)</f>
        <v/>
      </c>
      <c r="H665" s="12" t="str">
        <f>IF(B665=0,"",COUNTIFS('Extração'!O:O,"Não",'Extração'!J:J,A665)/B665)</f>
        <v/>
      </c>
      <c r="I665" s="12" t="str">
        <f>IF(B665=0,"",COUNTIFS('Extração'!P:P,"Igual",'Extração'!J:J,A665)/B665)</f>
        <v/>
      </c>
    </row>
    <row r="666">
      <c r="B666" s="12">
        <f>COUNTIF('Extração'!J:J,A666)</f>
        <v>0</v>
      </c>
      <c r="C666" s="12" t="str">
        <f>IF(B666=0,"",COUNTIFS('Extração'!N:N,"Sim",'Extração'!J:J,A666)/B666)</f>
        <v/>
      </c>
      <c r="D666" s="12" t="str">
        <f>IF(B666=0,"",COUNTIFS('Extração'!O:O,"Sim",'Extração'!J:J,A666)/B666)</f>
        <v/>
      </c>
      <c r="E666" s="12" t="str">
        <f>IF(B666=0,"",COUNTIFS('Extração'!N:N,"Parcialmente",'Extração'!J:J,A666)/B666)</f>
        <v/>
      </c>
      <c r="F666" s="12" t="str">
        <f>IF(B666=0,"",COUNTIFS('Extração'!O:O,"Parcialmente",'Extração'!J:J,A666)/B666)</f>
        <v/>
      </c>
      <c r="G666" s="12" t="str">
        <f>IF(B666=0,"",COUNTIFS('Extração'!N:N,"Não",'Extração'!J:J,A666)/B666)</f>
        <v/>
      </c>
      <c r="H666" s="12" t="str">
        <f>IF(B666=0,"",COUNTIFS('Extração'!O:O,"Não",'Extração'!J:J,A666)/B666)</f>
        <v/>
      </c>
      <c r="I666" s="12" t="str">
        <f>IF(B666=0,"",COUNTIFS('Extração'!P:P,"Igual",'Extração'!J:J,A666)/B666)</f>
        <v/>
      </c>
    </row>
    <row r="667">
      <c r="B667" s="12">
        <f>COUNTIF('Extração'!J:J,A667)</f>
        <v>0</v>
      </c>
      <c r="C667" s="12" t="str">
        <f>IF(B667=0,"",COUNTIFS('Extração'!N:N,"Sim",'Extração'!J:J,A667)/B667)</f>
        <v/>
      </c>
      <c r="D667" s="12" t="str">
        <f>IF(B667=0,"",COUNTIFS('Extração'!O:O,"Sim",'Extração'!J:J,A667)/B667)</f>
        <v/>
      </c>
      <c r="E667" s="12" t="str">
        <f>IF(B667=0,"",COUNTIFS('Extração'!N:N,"Parcialmente",'Extração'!J:J,A667)/B667)</f>
        <v/>
      </c>
      <c r="F667" s="12" t="str">
        <f>IF(B667=0,"",COUNTIFS('Extração'!O:O,"Parcialmente",'Extração'!J:J,A667)/B667)</f>
        <v/>
      </c>
      <c r="G667" s="12" t="str">
        <f>IF(B667=0,"",COUNTIFS('Extração'!N:N,"Não",'Extração'!J:J,A667)/B667)</f>
        <v/>
      </c>
      <c r="H667" s="12" t="str">
        <f>IF(B667=0,"",COUNTIFS('Extração'!O:O,"Não",'Extração'!J:J,A667)/B667)</f>
        <v/>
      </c>
      <c r="I667" s="12" t="str">
        <f>IF(B667=0,"",COUNTIFS('Extração'!P:P,"Igual",'Extração'!J:J,A667)/B667)</f>
        <v/>
      </c>
    </row>
    <row r="668">
      <c r="B668" s="12">
        <f>COUNTIF('Extração'!J:J,A668)</f>
        <v>0</v>
      </c>
      <c r="C668" s="12" t="str">
        <f>IF(B668=0,"",COUNTIFS('Extração'!N:N,"Sim",'Extração'!J:J,A668)/B668)</f>
        <v/>
      </c>
      <c r="D668" s="12" t="str">
        <f>IF(B668=0,"",COUNTIFS('Extração'!O:O,"Sim",'Extração'!J:J,A668)/B668)</f>
        <v/>
      </c>
      <c r="E668" s="12" t="str">
        <f>IF(B668=0,"",COUNTIFS('Extração'!N:N,"Parcialmente",'Extração'!J:J,A668)/B668)</f>
        <v/>
      </c>
      <c r="F668" s="12" t="str">
        <f>IF(B668=0,"",COUNTIFS('Extração'!O:O,"Parcialmente",'Extração'!J:J,A668)/B668)</f>
        <v/>
      </c>
      <c r="G668" s="12" t="str">
        <f>IF(B668=0,"",COUNTIFS('Extração'!N:N,"Não",'Extração'!J:J,A668)/B668)</f>
        <v/>
      </c>
      <c r="H668" s="12" t="str">
        <f>IF(B668=0,"",COUNTIFS('Extração'!O:O,"Não",'Extração'!J:J,A668)/B668)</f>
        <v/>
      </c>
      <c r="I668" s="12" t="str">
        <f>IF(B668=0,"",COUNTIFS('Extração'!P:P,"Igual",'Extração'!J:J,A668)/B668)</f>
        <v/>
      </c>
    </row>
    <row r="669">
      <c r="B669" s="12">
        <f>COUNTIF('Extração'!J:J,A669)</f>
        <v>0</v>
      </c>
      <c r="C669" s="12" t="str">
        <f>IF(B669=0,"",COUNTIFS('Extração'!N:N,"Sim",'Extração'!J:J,A669)/B669)</f>
        <v/>
      </c>
      <c r="D669" s="12" t="str">
        <f>IF(B669=0,"",COUNTIFS('Extração'!O:O,"Sim",'Extração'!J:J,A669)/B669)</f>
        <v/>
      </c>
      <c r="E669" s="12" t="str">
        <f>IF(B669=0,"",COUNTIFS('Extração'!N:N,"Parcialmente",'Extração'!J:J,A669)/B669)</f>
        <v/>
      </c>
      <c r="F669" s="12" t="str">
        <f>IF(B669=0,"",COUNTIFS('Extração'!O:O,"Parcialmente",'Extração'!J:J,A669)/B669)</f>
        <v/>
      </c>
      <c r="G669" s="12" t="str">
        <f>IF(B669=0,"",COUNTIFS('Extração'!N:N,"Não",'Extração'!J:J,A669)/B669)</f>
        <v/>
      </c>
      <c r="H669" s="12" t="str">
        <f>IF(B669=0,"",COUNTIFS('Extração'!O:O,"Não",'Extração'!J:J,A669)/B669)</f>
        <v/>
      </c>
      <c r="I669" s="12" t="str">
        <f>IF(B669=0,"",COUNTIFS('Extração'!P:P,"Igual",'Extração'!J:J,A669)/B669)</f>
        <v/>
      </c>
    </row>
    <row r="670">
      <c r="B670" s="12">
        <f>COUNTIF('Extração'!J:J,A670)</f>
        <v>0</v>
      </c>
      <c r="C670" s="12" t="str">
        <f>IF(B670=0,"",COUNTIFS('Extração'!N:N,"Sim",'Extração'!J:J,A670)/B670)</f>
        <v/>
      </c>
      <c r="D670" s="12" t="str">
        <f>IF(B670=0,"",COUNTIFS('Extração'!O:O,"Sim",'Extração'!J:J,A670)/B670)</f>
        <v/>
      </c>
      <c r="E670" s="12" t="str">
        <f>IF(B670=0,"",COUNTIFS('Extração'!N:N,"Parcialmente",'Extração'!J:J,A670)/B670)</f>
        <v/>
      </c>
      <c r="F670" s="12" t="str">
        <f>IF(B670=0,"",COUNTIFS('Extração'!O:O,"Parcialmente",'Extração'!J:J,A670)/B670)</f>
        <v/>
      </c>
      <c r="G670" s="12" t="str">
        <f>IF(B670=0,"",COUNTIFS('Extração'!N:N,"Não",'Extração'!J:J,A670)/B670)</f>
        <v/>
      </c>
      <c r="H670" s="12" t="str">
        <f>IF(B670=0,"",COUNTIFS('Extração'!O:O,"Não",'Extração'!J:J,A670)/B670)</f>
        <v/>
      </c>
      <c r="I670" s="12" t="str">
        <f>IF(B670=0,"",COUNTIFS('Extração'!P:P,"Igual",'Extração'!J:J,A670)/B670)</f>
        <v/>
      </c>
    </row>
    <row r="671">
      <c r="B671" s="12">
        <f>COUNTIF('Extração'!J:J,A671)</f>
        <v>0</v>
      </c>
      <c r="C671" s="12" t="str">
        <f>IF(B671=0,"",COUNTIFS('Extração'!N:N,"Sim",'Extração'!J:J,A671)/B671)</f>
        <v/>
      </c>
      <c r="D671" s="12" t="str">
        <f>IF(B671=0,"",COUNTIFS('Extração'!O:O,"Sim",'Extração'!J:J,A671)/B671)</f>
        <v/>
      </c>
      <c r="E671" s="12" t="str">
        <f>IF(B671=0,"",COUNTIFS('Extração'!N:N,"Parcialmente",'Extração'!J:J,A671)/B671)</f>
        <v/>
      </c>
      <c r="F671" s="12" t="str">
        <f>IF(B671=0,"",COUNTIFS('Extração'!O:O,"Parcialmente",'Extração'!J:J,A671)/B671)</f>
        <v/>
      </c>
      <c r="G671" s="12" t="str">
        <f>IF(B671=0,"",COUNTIFS('Extração'!N:N,"Não",'Extração'!J:J,A671)/B671)</f>
        <v/>
      </c>
      <c r="H671" s="12" t="str">
        <f>IF(B671=0,"",COUNTIFS('Extração'!O:O,"Não",'Extração'!J:J,A671)/B671)</f>
        <v/>
      </c>
      <c r="I671" s="12" t="str">
        <f>IF(B671=0,"",COUNTIFS('Extração'!P:P,"Igual",'Extração'!J:J,A671)/B671)</f>
        <v/>
      </c>
    </row>
    <row r="672">
      <c r="B672" s="12">
        <f>COUNTIF('Extração'!J:J,A672)</f>
        <v>0</v>
      </c>
      <c r="C672" s="12" t="str">
        <f>IF(B672=0,"",COUNTIFS('Extração'!N:N,"Sim",'Extração'!J:J,A672)/B672)</f>
        <v/>
      </c>
      <c r="D672" s="12" t="str">
        <f>IF(B672=0,"",COUNTIFS('Extração'!O:O,"Sim",'Extração'!J:J,A672)/B672)</f>
        <v/>
      </c>
      <c r="E672" s="12" t="str">
        <f>IF(B672=0,"",COUNTIFS('Extração'!N:N,"Parcialmente",'Extração'!J:J,A672)/B672)</f>
        <v/>
      </c>
      <c r="F672" s="12" t="str">
        <f>IF(B672=0,"",COUNTIFS('Extração'!O:O,"Parcialmente",'Extração'!J:J,A672)/B672)</f>
        <v/>
      </c>
      <c r="G672" s="12" t="str">
        <f>IF(B672=0,"",COUNTIFS('Extração'!N:N,"Não",'Extração'!J:J,A672)/B672)</f>
        <v/>
      </c>
      <c r="H672" s="12" t="str">
        <f>IF(B672=0,"",COUNTIFS('Extração'!O:O,"Não",'Extração'!J:J,A672)/B672)</f>
        <v/>
      </c>
      <c r="I672" s="12" t="str">
        <f>IF(B672=0,"",COUNTIFS('Extração'!P:P,"Igual",'Extração'!J:J,A672)/B672)</f>
        <v/>
      </c>
    </row>
    <row r="673">
      <c r="B673" s="12">
        <f>COUNTIF('Extração'!J:J,A673)</f>
        <v>0</v>
      </c>
      <c r="C673" s="12" t="str">
        <f>IF(B673=0,"",COUNTIFS('Extração'!N:N,"Sim",'Extração'!J:J,A673)/B673)</f>
        <v/>
      </c>
      <c r="D673" s="12" t="str">
        <f>IF(B673=0,"",COUNTIFS('Extração'!O:O,"Sim",'Extração'!J:J,A673)/B673)</f>
        <v/>
      </c>
      <c r="E673" s="12" t="str">
        <f>IF(B673=0,"",COUNTIFS('Extração'!N:N,"Parcialmente",'Extração'!J:J,A673)/B673)</f>
        <v/>
      </c>
      <c r="F673" s="12" t="str">
        <f>IF(B673=0,"",COUNTIFS('Extração'!O:O,"Parcialmente",'Extração'!J:J,A673)/B673)</f>
        <v/>
      </c>
      <c r="G673" s="12" t="str">
        <f>IF(B673=0,"",COUNTIFS('Extração'!N:N,"Não",'Extração'!J:J,A673)/B673)</f>
        <v/>
      </c>
      <c r="H673" s="12" t="str">
        <f>IF(B673=0,"",COUNTIFS('Extração'!O:O,"Não",'Extração'!J:J,A673)/B673)</f>
        <v/>
      </c>
      <c r="I673" s="12" t="str">
        <f>IF(B673=0,"",COUNTIFS('Extração'!P:P,"Igual",'Extração'!J:J,A673)/B673)</f>
        <v/>
      </c>
    </row>
    <row r="674">
      <c r="B674" s="12">
        <f>COUNTIF('Extração'!J:J,A674)</f>
        <v>0</v>
      </c>
      <c r="C674" s="12" t="str">
        <f>IF(B674=0,"",COUNTIFS('Extração'!N:N,"Sim",'Extração'!J:J,A674)/B674)</f>
        <v/>
      </c>
      <c r="D674" s="12" t="str">
        <f>IF(B674=0,"",COUNTIFS('Extração'!O:O,"Sim",'Extração'!J:J,A674)/B674)</f>
        <v/>
      </c>
      <c r="E674" s="12" t="str">
        <f>IF(B674=0,"",COUNTIFS('Extração'!N:N,"Parcialmente",'Extração'!J:J,A674)/B674)</f>
        <v/>
      </c>
      <c r="F674" s="12" t="str">
        <f>IF(B674=0,"",COUNTIFS('Extração'!O:O,"Parcialmente",'Extração'!J:J,A674)/B674)</f>
        <v/>
      </c>
      <c r="G674" s="12" t="str">
        <f>IF(B674=0,"",COUNTIFS('Extração'!N:N,"Não",'Extração'!J:J,A674)/B674)</f>
        <v/>
      </c>
      <c r="H674" s="12" t="str">
        <f>IF(B674=0,"",COUNTIFS('Extração'!O:O,"Não",'Extração'!J:J,A674)/B674)</f>
        <v/>
      </c>
      <c r="I674" s="12" t="str">
        <f>IF(B674=0,"",COUNTIFS('Extração'!P:P,"Igual",'Extração'!J:J,A674)/B674)</f>
        <v/>
      </c>
    </row>
    <row r="675">
      <c r="B675" s="12">
        <f>COUNTIF('Extração'!J:J,A675)</f>
        <v>0</v>
      </c>
      <c r="C675" s="12" t="str">
        <f>IF(B675=0,"",COUNTIFS('Extração'!N:N,"Sim",'Extração'!J:J,A675)/B675)</f>
        <v/>
      </c>
      <c r="D675" s="12" t="str">
        <f>IF(B675=0,"",COUNTIFS('Extração'!O:O,"Sim",'Extração'!J:J,A675)/B675)</f>
        <v/>
      </c>
      <c r="E675" s="12" t="str">
        <f>IF(B675=0,"",COUNTIFS('Extração'!N:N,"Parcialmente",'Extração'!J:J,A675)/B675)</f>
        <v/>
      </c>
      <c r="F675" s="12" t="str">
        <f>IF(B675=0,"",COUNTIFS('Extração'!O:O,"Parcialmente",'Extração'!J:J,A675)/B675)</f>
        <v/>
      </c>
      <c r="G675" s="12" t="str">
        <f>IF(B675=0,"",COUNTIFS('Extração'!N:N,"Não",'Extração'!J:J,A675)/B675)</f>
        <v/>
      </c>
      <c r="H675" s="12" t="str">
        <f>IF(B675=0,"",COUNTIFS('Extração'!O:O,"Não",'Extração'!J:J,A675)/B675)</f>
        <v/>
      </c>
      <c r="I675" s="12" t="str">
        <f>IF(B675=0,"",COUNTIFS('Extração'!P:P,"Igual",'Extração'!J:J,A675)/B675)</f>
        <v/>
      </c>
    </row>
    <row r="676">
      <c r="B676" s="12">
        <f>COUNTIF('Extração'!J:J,A676)</f>
        <v>0</v>
      </c>
      <c r="C676" s="12" t="str">
        <f>IF(B676=0,"",COUNTIFS('Extração'!N:N,"Sim",'Extração'!J:J,A676)/B676)</f>
        <v/>
      </c>
      <c r="D676" s="12" t="str">
        <f>IF(B676=0,"",COUNTIFS('Extração'!O:O,"Sim",'Extração'!J:J,A676)/B676)</f>
        <v/>
      </c>
      <c r="E676" s="12" t="str">
        <f>IF(B676=0,"",COUNTIFS('Extração'!N:N,"Parcialmente",'Extração'!J:J,A676)/B676)</f>
        <v/>
      </c>
      <c r="F676" s="12" t="str">
        <f>IF(B676=0,"",COUNTIFS('Extração'!O:O,"Parcialmente",'Extração'!J:J,A676)/B676)</f>
        <v/>
      </c>
      <c r="G676" s="12" t="str">
        <f>IF(B676=0,"",COUNTIFS('Extração'!N:N,"Não",'Extração'!J:J,A676)/B676)</f>
        <v/>
      </c>
      <c r="H676" s="12" t="str">
        <f>IF(B676=0,"",COUNTIFS('Extração'!O:O,"Não",'Extração'!J:J,A676)/B676)</f>
        <v/>
      </c>
      <c r="I676" s="12" t="str">
        <f>IF(B676=0,"",COUNTIFS('Extração'!P:P,"Igual",'Extração'!J:J,A676)/B676)</f>
        <v/>
      </c>
    </row>
    <row r="677">
      <c r="B677" s="12">
        <f>COUNTIF('Extração'!J:J,A677)</f>
        <v>0</v>
      </c>
      <c r="C677" s="12" t="str">
        <f>IF(B677=0,"",COUNTIFS('Extração'!N:N,"Sim",'Extração'!J:J,A677)/B677)</f>
        <v/>
      </c>
      <c r="D677" s="12" t="str">
        <f>IF(B677=0,"",COUNTIFS('Extração'!O:O,"Sim",'Extração'!J:J,A677)/B677)</f>
        <v/>
      </c>
      <c r="E677" s="12" t="str">
        <f>IF(B677=0,"",COUNTIFS('Extração'!N:N,"Parcialmente",'Extração'!J:J,A677)/B677)</f>
        <v/>
      </c>
      <c r="F677" s="12" t="str">
        <f>IF(B677=0,"",COUNTIFS('Extração'!O:O,"Parcialmente",'Extração'!J:J,A677)/B677)</f>
        <v/>
      </c>
      <c r="G677" s="12" t="str">
        <f>IF(B677=0,"",COUNTIFS('Extração'!N:N,"Não",'Extração'!J:J,A677)/B677)</f>
        <v/>
      </c>
      <c r="H677" s="12" t="str">
        <f>IF(B677=0,"",COUNTIFS('Extração'!O:O,"Não",'Extração'!J:J,A677)/B677)</f>
        <v/>
      </c>
      <c r="I677" s="12" t="str">
        <f>IF(B677=0,"",COUNTIFS('Extração'!P:P,"Igual",'Extração'!J:J,A677)/B677)</f>
        <v/>
      </c>
    </row>
    <row r="678">
      <c r="B678" s="12">
        <f>COUNTIF('Extração'!J:J,A678)</f>
        <v>0</v>
      </c>
      <c r="C678" s="12" t="str">
        <f>IF(B678=0,"",COUNTIFS('Extração'!N:N,"Sim",'Extração'!J:J,A678)/B678)</f>
        <v/>
      </c>
      <c r="D678" s="12" t="str">
        <f>IF(B678=0,"",COUNTIFS('Extração'!O:O,"Sim",'Extração'!J:J,A678)/B678)</f>
        <v/>
      </c>
      <c r="E678" s="12" t="str">
        <f>IF(B678=0,"",COUNTIFS('Extração'!N:N,"Parcialmente",'Extração'!J:J,A678)/B678)</f>
        <v/>
      </c>
      <c r="F678" s="12" t="str">
        <f>IF(B678=0,"",COUNTIFS('Extração'!O:O,"Parcialmente",'Extração'!J:J,A678)/B678)</f>
        <v/>
      </c>
      <c r="G678" s="12" t="str">
        <f>IF(B678=0,"",COUNTIFS('Extração'!N:N,"Não",'Extração'!J:J,A678)/B678)</f>
        <v/>
      </c>
      <c r="H678" s="12" t="str">
        <f>IF(B678=0,"",COUNTIFS('Extração'!O:O,"Não",'Extração'!J:J,A678)/B678)</f>
        <v/>
      </c>
      <c r="I678" s="12" t="str">
        <f>IF(B678=0,"",COUNTIFS('Extração'!P:P,"Igual",'Extração'!J:J,A678)/B678)</f>
        <v/>
      </c>
    </row>
    <row r="679">
      <c r="B679" s="12">
        <f>COUNTIF('Extração'!J:J,A679)</f>
        <v>0</v>
      </c>
      <c r="C679" s="12" t="str">
        <f>IF(B679=0,"",COUNTIFS('Extração'!N:N,"Sim",'Extração'!J:J,A679)/B679)</f>
        <v/>
      </c>
      <c r="D679" s="12" t="str">
        <f>IF(B679=0,"",COUNTIFS('Extração'!O:O,"Sim",'Extração'!J:J,A679)/B679)</f>
        <v/>
      </c>
      <c r="E679" s="12" t="str">
        <f>IF(B679=0,"",COUNTIFS('Extração'!N:N,"Parcialmente",'Extração'!J:J,A679)/B679)</f>
        <v/>
      </c>
      <c r="F679" s="12" t="str">
        <f>IF(B679=0,"",COUNTIFS('Extração'!O:O,"Parcialmente",'Extração'!J:J,A679)/B679)</f>
        <v/>
      </c>
      <c r="G679" s="12" t="str">
        <f>IF(B679=0,"",COUNTIFS('Extração'!N:N,"Não",'Extração'!J:J,A679)/B679)</f>
        <v/>
      </c>
      <c r="H679" s="12" t="str">
        <f>IF(B679=0,"",COUNTIFS('Extração'!O:O,"Não",'Extração'!J:J,A679)/B679)</f>
        <v/>
      </c>
      <c r="I679" s="12" t="str">
        <f>IF(B679=0,"",COUNTIFS('Extração'!P:P,"Igual",'Extração'!J:J,A679)/B679)</f>
        <v/>
      </c>
    </row>
    <row r="680">
      <c r="B680" s="12">
        <f>COUNTIF('Extração'!J:J,A680)</f>
        <v>0</v>
      </c>
      <c r="C680" s="12" t="str">
        <f>IF(B680=0,"",COUNTIFS('Extração'!N:N,"Sim",'Extração'!J:J,A680)/B680)</f>
        <v/>
      </c>
      <c r="D680" s="12" t="str">
        <f>IF(B680=0,"",COUNTIFS('Extração'!O:O,"Sim",'Extração'!J:J,A680)/B680)</f>
        <v/>
      </c>
      <c r="E680" s="12" t="str">
        <f>IF(B680=0,"",COUNTIFS('Extração'!N:N,"Parcialmente",'Extração'!J:J,A680)/B680)</f>
        <v/>
      </c>
      <c r="F680" s="12" t="str">
        <f>IF(B680=0,"",COUNTIFS('Extração'!O:O,"Parcialmente",'Extração'!J:J,A680)/B680)</f>
        <v/>
      </c>
      <c r="G680" s="12" t="str">
        <f>IF(B680=0,"",COUNTIFS('Extração'!N:N,"Não",'Extração'!J:J,A680)/B680)</f>
        <v/>
      </c>
      <c r="H680" s="12" t="str">
        <f>IF(B680=0,"",COUNTIFS('Extração'!O:O,"Não",'Extração'!J:J,A680)/B680)</f>
        <v/>
      </c>
      <c r="I680" s="12" t="str">
        <f>IF(B680=0,"",COUNTIFS('Extração'!P:P,"Igual",'Extração'!J:J,A680)/B680)</f>
        <v/>
      </c>
    </row>
    <row r="681">
      <c r="B681" s="12">
        <f>COUNTIF('Extração'!J:J,A681)</f>
        <v>0</v>
      </c>
      <c r="C681" s="12" t="str">
        <f>IF(B681=0,"",COUNTIFS('Extração'!N:N,"Sim",'Extração'!J:J,A681)/B681)</f>
        <v/>
      </c>
      <c r="D681" s="12" t="str">
        <f>IF(B681=0,"",COUNTIFS('Extração'!O:O,"Sim",'Extração'!J:J,A681)/B681)</f>
        <v/>
      </c>
      <c r="E681" s="12" t="str">
        <f>IF(B681=0,"",COUNTIFS('Extração'!N:N,"Parcialmente",'Extração'!J:J,A681)/B681)</f>
        <v/>
      </c>
      <c r="F681" s="12" t="str">
        <f>IF(B681=0,"",COUNTIFS('Extração'!O:O,"Parcialmente",'Extração'!J:J,A681)/B681)</f>
        <v/>
      </c>
      <c r="G681" s="12" t="str">
        <f>IF(B681=0,"",COUNTIFS('Extração'!N:N,"Não",'Extração'!J:J,A681)/B681)</f>
        <v/>
      </c>
      <c r="H681" s="12" t="str">
        <f>IF(B681=0,"",COUNTIFS('Extração'!O:O,"Não",'Extração'!J:J,A681)/B681)</f>
        <v/>
      </c>
      <c r="I681" s="12" t="str">
        <f>IF(B681=0,"",COUNTIFS('Extração'!P:P,"Igual",'Extração'!J:J,A681)/B681)</f>
        <v/>
      </c>
    </row>
    <row r="682">
      <c r="B682" s="12">
        <f>COUNTIF('Extração'!J:J,A682)</f>
        <v>0</v>
      </c>
      <c r="C682" s="12" t="str">
        <f>IF(B682=0,"",COUNTIFS('Extração'!N:N,"Sim",'Extração'!J:J,A682)/B682)</f>
        <v/>
      </c>
      <c r="D682" s="12" t="str">
        <f>IF(B682=0,"",COUNTIFS('Extração'!O:O,"Sim",'Extração'!J:J,A682)/B682)</f>
        <v/>
      </c>
      <c r="E682" s="12" t="str">
        <f>IF(B682=0,"",COUNTIFS('Extração'!N:N,"Parcialmente",'Extração'!J:J,A682)/B682)</f>
        <v/>
      </c>
      <c r="F682" s="12" t="str">
        <f>IF(B682=0,"",COUNTIFS('Extração'!O:O,"Parcialmente",'Extração'!J:J,A682)/B682)</f>
        <v/>
      </c>
      <c r="G682" s="12" t="str">
        <f>IF(B682=0,"",COUNTIFS('Extração'!N:N,"Não",'Extração'!J:J,A682)/B682)</f>
        <v/>
      </c>
      <c r="H682" s="12" t="str">
        <f>IF(B682=0,"",COUNTIFS('Extração'!O:O,"Não",'Extração'!J:J,A682)/B682)</f>
        <v/>
      </c>
      <c r="I682" s="12" t="str">
        <f>IF(B682=0,"",COUNTIFS('Extração'!P:P,"Igual",'Extração'!J:J,A682)/B682)</f>
        <v/>
      </c>
    </row>
    <row r="683">
      <c r="B683" s="12">
        <f>COUNTIF('Extração'!J:J,A683)</f>
        <v>0</v>
      </c>
      <c r="C683" s="12" t="str">
        <f>IF(B683=0,"",COUNTIFS('Extração'!N:N,"Sim",'Extração'!J:J,A683)/B683)</f>
        <v/>
      </c>
      <c r="D683" s="12" t="str">
        <f>IF(B683=0,"",COUNTIFS('Extração'!O:O,"Sim",'Extração'!J:J,A683)/B683)</f>
        <v/>
      </c>
      <c r="E683" s="12" t="str">
        <f>IF(B683=0,"",COUNTIFS('Extração'!N:N,"Parcialmente",'Extração'!J:J,A683)/B683)</f>
        <v/>
      </c>
      <c r="F683" s="12" t="str">
        <f>IF(B683=0,"",COUNTIFS('Extração'!O:O,"Parcialmente",'Extração'!J:J,A683)/B683)</f>
        <v/>
      </c>
      <c r="G683" s="12" t="str">
        <f>IF(B683=0,"",COUNTIFS('Extração'!N:N,"Não",'Extração'!J:J,A683)/B683)</f>
        <v/>
      </c>
      <c r="H683" s="12" t="str">
        <f>IF(B683=0,"",COUNTIFS('Extração'!O:O,"Não",'Extração'!J:J,A683)/B683)</f>
        <v/>
      </c>
      <c r="I683" s="12" t="str">
        <f>IF(B683=0,"",COUNTIFS('Extração'!P:P,"Igual",'Extração'!J:J,A683)/B683)</f>
        <v/>
      </c>
    </row>
    <row r="684">
      <c r="B684" s="12">
        <f>COUNTIF('Extração'!J:J,A684)</f>
        <v>0</v>
      </c>
      <c r="C684" s="12" t="str">
        <f>IF(B684=0,"",COUNTIFS('Extração'!N:N,"Sim",'Extração'!J:J,A684)/B684)</f>
        <v/>
      </c>
      <c r="D684" s="12" t="str">
        <f>IF(B684=0,"",COUNTIFS('Extração'!O:O,"Sim",'Extração'!J:J,A684)/B684)</f>
        <v/>
      </c>
      <c r="E684" s="12" t="str">
        <f>IF(B684=0,"",COUNTIFS('Extração'!N:N,"Parcialmente",'Extração'!J:J,A684)/B684)</f>
        <v/>
      </c>
      <c r="F684" s="12" t="str">
        <f>IF(B684=0,"",COUNTIFS('Extração'!O:O,"Parcialmente",'Extração'!J:J,A684)/B684)</f>
        <v/>
      </c>
      <c r="G684" s="12" t="str">
        <f>IF(B684=0,"",COUNTIFS('Extração'!N:N,"Não",'Extração'!J:J,A684)/B684)</f>
        <v/>
      </c>
      <c r="H684" s="12" t="str">
        <f>IF(B684=0,"",COUNTIFS('Extração'!O:O,"Não",'Extração'!J:J,A684)/B684)</f>
        <v/>
      </c>
      <c r="I684" s="12" t="str">
        <f>IF(B684=0,"",COUNTIFS('Extração'!P:P,"Igual",'Extração'!J:J,A684)/B684)</f>
        <v/>
      </c>
    </row>
    <row r="685">
      <c r="B685" s="12">
        <f>COUNTIF('Extração'!J:J,A685)</f>
        <v>0</v>
      </c>
      <c r="C685" s="12" t="str">
        <f>IF(B685=0,"",COUNTIFS('Extração'!N:N,"Sim",'Extração'!J:J,A685)/B685)</f>
        <v/>
      </c>
      <c r="D685" s="12" t="str">
        <f>IF(B685=0,"",COUNTIFS('Extração'!O:O,"Sim",'Extração'!J:J,A685)/B685)</f>
        <v/>
      </c>
      <c r="E685" s="12" t="str">
        <f>IF(B685=0,"",COUNTIFS('Extração'!N:N,"Parcialmente",'Extração'!J:J,A685)/B685)</f>
        <v/>
      </c>
      <c r="F685" s="12" t="str">
        <f>IF(B685=0,"",COUNTIFS('Extração'!O:O,"Parcialmente",'Extração'!J:J,A685)/B685)</f>
        <v/>
      </c>
      <c r="G685" s="12" t="str">
        <f>IF(B685=0,"",COUNTIFS('Extração'!N:N,"Não",'Extração'!J:J,A685)/B685)</f>
        <v/>
      </c>
      <c r="H685" s="12" t="str">
        <f>IF(B685=0,"",COUNTIFS('Extração'!O:O,"Não",'Extração'!J:J,A685)/B685)</f>
        <v/>
      </c>
      <c r="I685" s="12" t="str">
        <f>IF(B685=0,"",COUNTIFS('Extração'!P:P,"Igual",'Extração'!J:J,A685)/B685)</f>
        <v/>
      </c>
    </row>
    <row r="686">
      <c r="B686" s="12">
        <f>COUNTIF('Extração'!J:J,A686)</f>
        <v>0</v>
      </c>
      <c r="C686" s="12" t="str">
        <f>IF(B686=0,"",COUNTIFS('Extração'!N:N,"Sim",'Extração'!J:J,A686)/B686)</f>
        <v/>
      </c>
      <c r="D686" s="12" t="str">
        <f>IF(B686=0,"",COUNTIFS('Extração'!O:O,"Sim",'Extração'!J:J,A686)/B686)</f>
        <v/>
      </c>
      <c r="E686" s="12" t="str">
        <f>IF(B686=0,"",COUNTIFS('Extração'!N:N,"Parcialmente",'Extração'!J:J,A686)/B686)</f>
        <v/>
      </c>
      <c r="F686" s="12" t="str">
        <f>IF(B686=0,"",COUNTIFS('Extração'!O:O,"Parcialmente",'Extração'!J:J,A686)/B686)</f>
        <v/>
      </c>
      <c r="G686" s="12" t="str">
        <f>IF(B686=0,"",COUNTIFS('Extração'!N:N,"Não",'Extração'!J:J,A686)/B686)</f>
        <v/>
      </c>
      <c r="H686" s="12" t="str">
        <f>IF(B686=0,"",COUNTIFS('Extração'!O:O,"Não",'Extração'!J:J,A686)/B686)</f>
        <v/>
      </c>
      <c r="I686" s="12" t="str">
        <f>IF(B686=0,"",COUNTIFS('Extração'!P:P,"Igual",'Extração'!J:J,A686)/B686)</f>
        <v/>
      </c>
    </row>
    <row r="687">
      <c r="B687" s="12">
        <f>COUNTIF('Extração'!J:J,A687)</f>
        <v>0</v>
      </c>
      <c r="C687" s="12" t="str">
        <f>IF(B687=0,"",COUNTIFS('Extração'!N:N,"Sim",'Extração'!J:J,A687)/B687)</f>
        <v/>
      </c>
      <c r="D687" s="12" t="str">
        <f>IF(B687=0,"",COUNTIFS('Extração'!O:O,"Sim",'Extração'!J:J,A687)/B687)</f>
        <v/>
      </c>
      <c r="E687" s="12" t="str">
        <f>IF(B687=0,"",COUNTIFS('Extração'!N:N,"Parcialmente",'Extração'!J:J,A687)/B687)</f>
        <v/>
      </c>
      <c r="F687" s="12" t="str">
        <f>IF(B687=0,"",COUNTIFS('Extração'!O:O,"Parcialmente",'Extração'!J:J,A687)/B687)</f>
        <v/>
      </c>
      <c r="G687" s="12" t="str">
        <f>IF(B687=0,"",COUNTIFS('Extração'!N:N,"Não",'Extração'!J:J,A687)/B687)</f>
        <v/>
      </c>
      <c r="H687" s="12" t="str">
        <f>IF(B687=0,"",COUNTIFS('Extração'!O:O,"Não",'Extração'!J:J,A687)/B687)</f>
        <v/>
      </c>
      <c r="I687" s="12" t="str">
        <f>IF(B687=0,"",COUNTIFS('Extração'!P:P,"Igual",'Extração'!J:J,A687)/B687)</f>
        <v/>
      </c>
    </row>
    <row r="688">
      <c r="B688" s="12">
        <f>COUNTIF('Extração'!J:J,A688)</f>
        <v>0</v>
      </c>
      <c r="C688" s="12" t="str">
        <f>IF(B688=0,"",COUNTIFS('Extração'!N:N,"Sim",'Extração'!J:J,A688)/B688)</f>
        <v/>
      </c>
      <c r="D688" s="12" t="str">
        <f>IF(B688=0,"",COUNTIFS('Extração'!O:O,"Sim",'Extração'!J:J,A688)/B688)</f>
        <v/>
      </c>
      <c r="E688" s="12" t="str">
        <f>IF(B688=0,"",COUNTIFS('Extração'!N:N,"Parcialmente",'Extração'!J:J,A688)/B688)</f>
        <v/>
      </c>
      <c r="F688" s="12" t="str">
        <f>IF(B688=0,"",COUNTIFS('Extração'!O:O,"Parcialmente",'Extração'!J:J,A688)/B688)</f>
        <v/>
      </c>
      <c r="G688" s="12" t="str">
        <f>IF(B688=0,"",COUNTIFS('Extração'!N:N,"Não",'Extração'!J:J,A688)/B688)</f>
        <v/>
      </c>
      <c r="H688" s="12" t="str">
        <f>IF(B688=0,"",COUNTIFS('Extração'!O:O,"Não",'Extração'!J:J,A688)/B688)</f>
        <v/>
      </c>
      <c r="I688" s="12" t="str">
        <f>IF(B688=0,"",COUNTIFS('Extração'!P:P,"Igual",'Extração'!J:J,A688)/B688)</f>
        <v/>
      </c>
    </row>
    <row r="689">
      <c r="B689" s="12">
        <f>COUNTIF('Extração'!J:J,A689)</f>
        <v>0</v>
      </c>
      <c r="C689" s="12" t="str">
        <f>IF(B689=0,"",COUNTIFS('Extração'!N:N,"Sim",'Extração'!J:J,A689)/B689)</f>
        <v/>
      </c>
      <c r="D689" s="12" t="str">
        <f>IF(B689=0,"",COUNTIFS('Extração'!O:O,"Sim",'Extração'!J:J,A689)/B689)</f>
        <v/>
      </c>
      <c r="E689" s="12" t="str">
        <f>IF(B689=0,"",COUNTIFS('Extração'!N:N,"Parcialmente",'Extração'!J:J,A689)/B689)</f>
        <v/>
      </c>
      <c r="F689" s="12" t="str">
        <f>IF(B689=0,"",COUNTIFS('Extração'!O:O,"Parcialmente",'Extração'!J:J,A689)/B689)</f>
        <v/>
      </c>
      <c r="G689" s="12" t="str">
        <f>IF(B689=0,"",COUNTIFS('Extração'!N:N,"Não",'Extração'!J:J,A689)/B689)</f>
        <v/>
      </c>
      <c r="H689" s="12" t="str">
        <f>IF(B689=0,"",COUNTIFS('Extração'!O:O,"Não",'Extração'!J:J,A689)/B689)</f>
        <v/>
      </c>
      <c r="I689" s="12" t="str">
        <f>IF(B689=0,"",COUNTIFS('Extração'!P:P,"Igual",'Extração'!J:J,A689)/B689)</f>
        <v/>
      </c>
    </row>
    <row r="690">
      <c r="B690" s="12">
        <f>COUNTIF('Extração'!J:J,A690)</f>
        <v>0</v>
      </c>
      <c r="C690" s="12" t="str">
        <f>IF(B690=0,"",COUNTIFS('Extração'!N:N,"Sim",'Extração'!J:J,A690)/B690)</f>
        <v/>
      </c>
      <c r="D690" s="12" t="str">
        <f>IF(B690=0,"",COUNTIFS('Extração'!O:O,"Sim",'Extração'!J:J,A690)/B690)</f>
        <v/>
      </c>
      <c r="E690" s="12" t="str">
        <f>IF(B690=0,"",COUNTIFS('Extração'!N:N,"Parcialmente",'Extração'!J:J,A690)/B690)</f>
        <v/>
      </c>
      <c r="F690" s="12" t="str">
        <f>IF(B690=0,"",COUNTIFS('Extração'!O:O,"Parcialmente",'Extração'!J:J,A690)/B690)</f>
        <v/>
      </c>
      <c r="G690" s="12" t="str">
        <f>IF(B690=0,"",COUNTIFS('Extração'!N:N,"Não",'Extração'!J:J,A690)/B690)</f>
        <v/>
      </c>
      <c r="H690" s="12" t="str">
        <f>IF(B690=0,"",COUNTIFS('Extração'!O:O,"Não",'Extração'!J:J,A690)/B690)</f>
        <v/>
      </c>
      <c r="I690" s="12" t="str">
        <f>IF(B690=0,"",COUNTIFS('Extração'!P:P,"Igual",'Extração'!J:J,A690)/B690)</f>
        <v/>
      </c>
    </row>
    <row r="691">
      <c r="B691" s="12">
        <f>COUNTIF('Extração'!J:J,A691)</f>
        <v>0</v>
      </c>
      <c r="C691" s="12" t="str">
        <f>IF(B691=0,"",COUNTIFS('Extração'!N:N,"Sim",'Extração'!J:J,A691)/B691)</f>
        <v/>
      </c>
      <c r="D691" s="12" t="str">
        <f>IF(B691=0,"",COUNTIFS('Extração'!O:O,"Sim",'Extração'!J:J,A691)/B691)</f>
        <v/>
      </c>
      <c r="E691" s="12" t="str">
        <f>IF(B691=0,"",COUNTIFS('Extração'!N:N,"Parcialmente",'Extração'!J:J,A691)/B691)</f>
        <v/>
      </c>
      <c r="F691" s="12" t="str">
        <f>IF(B691=0,"",COUNTIFS('Extração'!O:O,"Parcialmente",'Extração'!J:J,A691)/B691)</f>
        <v/>
      </c>
      <c r="G691" s="12" t="str">
        <f>IF(B691=0,"",COUNTIFS('Extração'!N:N,"Não",'Extração'!J:J,A691)/B691)</f>
        <v/>
      </c>
      <c r="H691" s="12" t="str">
        <f>IF(B691=0,"",COUNTIFS('Extração'!O:O,"Não",'Extração'!J:J,A691)/B691)</f>
        <v/>
      </c>
      <c r="I691" s="12" t="str">
        <f>IF(B691=0,"",COUNTIFS('Extração'!P:P,"Igual",'Extração'!J:J,A691)/B691)</f>
        <v/>
      </c>
    </row>
    <row r="692">
      <c r="B692" s="12">
        <f>COUNTIF('Extração'!J:J,A692)</f>
        <v>0</v>
      </c>
      <c r="C692" s="12" t="str">
        <f>IF(B692=0,"",COUNTIFS('Extração'!N:N,"Sim",'Extração'!J:J,A692)/B692)</f>
        <v/>
      </c>
      <c r="D692" s="12" t="str">
        <f>IF(B692=0,"",COUNTIFS('Extração'!O:O,"Sim",'Extração'!J:J,A692)/B692)</f>
        <v/>
      </c>
      <c r="E692" s="12" t="str">
        <f>IF(B692=0,"",COUNTIFS('Extração'!N:N,"Parcialmente",'Extração'!J:J,A692)/B692)</f>
        <v/>
      </c>
      <c r="F692" s="12" t="str">
        <f>IF(B692=0,"",COUNTIFS('Extração'!O:O,"Parcialmente",'Extração'!J:J,A692)/B692)</f>
        <v/>
      </c>
      <c r="G692" s="12" t="str">
        <f>IF(B692=0,"",COUNTIFS('Extração'!N:N,"Não",'Extração'!J:J,A692)/B692)</f>
        <v/>
      </c>
      <c r="H692" s="12" t="str">
        <f>IF(B692=0,"",COUNTIFS('Extração'!O:O,"Não",'Extração'!J:J,A692)/B692)</f>
        <v/>
      </c>
      <c r="I692" s="12" t="str">
        <f>IF(B692=0,"",COUNTIFS('Extração'!P:P,"Igual",'Extração'!J:J,A692)/B692)</f>
        <v/>
      </c>
    </row>
    <row r="693">
      <c r="B693" s="12">
        <f>COUNTIF('Extração'!J:J,A693)</f>
        <v>0</v>
      </c>
      <c r="C693" s="12" t="str">
        <f>IF(B693=0,"",COUNTIFS('Extração'!N:N,"Sim",'Extração'!J:J,A693)/B693)</f>
        <v/>
      </c>
      <c r="D693" s="12" t="str">
        <f>IF(B693=0,"",COUNTIFS('Extração'!O:O,"Sim",'Extração'!J:J,A693)/B693)</f>
        <v/>
      </c>
      <c r="E693" s="12" t="str">
        <f>IF(B693=0,"",COUNTIFS('Extração'!N:N,"Parcialmente",'Extração'!J:J,A693)/B693)</f>
        <v/>
      </c>
      <c r="F693" s="12" t="str">
        <f>IF(B693=0,"",COUNTIFS('Extração'!O:O,"Parcialmente",'Extração'!J:J,A693)/B693)</f>
        <v/>
      </c>
      <c r="G693" s="12" t="str">
        <f>IF(B693=0,"",COUNTIFS('Extração'!N:N,"Não",'Extração'!J:J,A693)/B693)</f>
        <v/>
      </c>
      <c r="H693" s="12" t="str">
        <f>IF(B693=0,"",COUNTIFS('Extração'!O:O,"Não",'Extração'!J:J,A693)/B693)</f>
        <v/>
      </c>
      <c r="I693" s="12" t="str">
        <f>IF(B693=0,"",COUNTIFS('Extração'!P:P,"Igual",'Extração'!J:J,A693)/B693)</f>
        <v/>
      </c>
    </row>
    <row r="694">
      <c r="B694" s="12">
        <f>COUNTIF('Extração'!J:J,A694)</f>
        <v>0</v>
      </c>
      <c r="C694" s="12" t="str">
        <f>IF(B694=0,"",COUNTIFS('Extração'!N:N,"Sim",'Extração'!J:J,A694)/B694)</f>
        <v/>
      </c>
      <c r="D694" s="12" t="str">
        <f>IF(B694=0,"",COUNTIFS('Extração'!O:O,"Sim",'Extração'!J:J,A694)/B694)</f>
        <v/>
      </c>
      <c r="E694" s="12" t="str">
        <f>IF(B694=0,"",COUNTIFS('Extração'!N:N,"Parcialmente",'Extração'!J:J,A694)/B694)</f>
        <v/>
      </c>
      <c r="F694" s="12" t="str">
        <f>IF(B694=0,"",COUNTIFS('Extração'!O:O,"Parcialmente",'Extração'!J:J,A694)/B694)</f>
        <v/>
      </c>
      <c r="G694" s="12" t="str">
        <f>IF(B694=0,"",COUNTIFS('Extração'!N:N,"Não",'Extração'!J:J,A694)/B694)</f>
        <v/>
      </c>
      <c r="H694" s="12" t="str">
        <f>IF(B694=0,"",COUNTIFS('Extração'!O:O,"Não",'Extração'!J:J,A694)/B694)</f>
        <v/>
      </c>
      <c r="I694" s="12" t="str">
        <f>IF(B694=0,"",COUNTIFS('Extração'!P:P,"Igual",'Extração'!J:J,A694)/B694)</f>
        <v/>
      </c>
    </row>
    <row r="695">
      <c r="B695" s="12">
        <f>COUNTIF('Extração'!J:J,A695)</f>
        <v>0</v>
      </c>
      <c r="C695" s="12" t="str">
        <f>IF(B695=0,"",COUNTIFS('Extração'!N:N,"Sim",'Extração'!J:J,A695)/B695)</f>
        <v/>
      </c>
      <c r="D695" s="12" t="str">
        <f>IF(B695=0,"",COUNTIFS('Extração'!O:O,"Sim",'Extração'!J:J,A695)/B695)</f>
        <v/>
      </c>
      <c r="E695" s="12" t="str">
        <f>IF(B695=0,"",COUNTIFS('Extração'!N:N,"Parcialmente",'Extração'!J:J,A695)/B695)</f>
        <v/>
      </c>
      <c r="F695" s="12" t="str">
        <f>IF(B695=0,"",COUNTIFS('Extração'!O:O,"Parcialmente",'Extração'!J:J,A695)/B695)</f>
        <v/>
      </c>
      <c r="G695" s="12" t="str">
        <f>IF(B695=0,"",COUNTIFS('Extração'!N:N,"Não",'Extração'!J:J,A695)/B695)</f>
        <v/>
      </c>
      <c r="H695" s="12" t="str">
        <f>IF(B695=0,"",COUNTIFS('Extração'!O:O,"Não",'Extração'!J:J,A695)/B695)</f>
        <v/>
      </c>
      <c r="I695" s="12" t="str">
        <f>IF(B695=0,"",COUNTIFS('Extração'!P:P,"Igual",'Extração'!J:J,A695)/B695)</f>
        <v/>
      </c>
    </row>
    <row r="696">
      <c r="B696" s="12">
        <f>COUNTIF('Extração'!J:J,A696)</f>
        <v>0</v>
      </c>
      <c r="C696" s="12" t="str">
        <f>IF(B696=0,"",COUNTIFS('Extração'!N:N,"Sim",'Extração'!J:J,A696)/B696)</f>
        <v/>
      </c>
      <c r="D696" s="12" t="str">
        <f>IF(B696=0,"",COUNTIFS('Extração'!O:O,"Sim",'Extração'!J:J,A696)/B696)</f>
        <v/>
      </c>
      <c r="E696" s="12" t="str">
        <f>IF(B696=0,"",COUNTIFS('Extração'!N:N,"Parcialmente",'Extração'!J:J,A696)/B696)</f>
        <v/>
      </c>
      <c r="F696" s="12" t="str">
        <f>IF(B696=0,"",COUNTIFS('Extração'!O:O,"Parcialmente",'Extração'!J:J,A696)/B696)</f>
        <v/>
      </c>
      <c r="G696" s="12" t="str">
        <f>IF(B696=0,"",COUNTIFS('Extração'!N:N,"Não",'Extração'!J:J,A696)/B696)</f>
        <v/>
      </c>
      <c r="H696" s="12" t="str">
        <f>IF(B696=0,"",COUNTIFS('Extração'!O:O,"Não",'Extração'!J:J,A696)/B696)</f>
        <v/>
      </c>
      <c r="I696" s="12" t="str">
        <f>IF(B696=0,"",COUNTIFS('Extração'!P:P,"Igual",'Extração'!J:J,A696)/B696)</f>
        <v/>
      </c>
    </row>
    <row r="697">
      <c r="B697" s="12">
        <f>COUNTIF('Extração'!J:J,A697)</f>
        <v>0</v>
      </c>
      <c r="C697" s="12" t="str">
        <f>IF(B697=0,"",COUNTIFS('Extração'!N:N,"Sim",'Extração'!J:J,A697)/B697)</f>
        <v/>
      </c>
      <c r="D697" s="12" t="str">
        <f>IF(B697=0,"",COUNTIFS('Extração'!O:O,"Sim",'Extração'!J:J,A697)/B697)</f>
        <v/>
      </c>
      <c r="E697" s="12" t="str">
        <f>IF(B697=0,"",COUNTIFS('Extração'!N:N,"Parcialmente",'Extração'!J:J,A697)/B697)</f>
        <v/>
      </c>
      <c r="F697" s="12" t="str">
        <f>IF(B697=0,"",COUNTIFS('Extração'!O:O,"Parcialmente",'Extração'!J:J,A697)/B697)</f>
        <v/>
      </c>
      <c r="G697" s="12" t="str">
        <f>IF(B697=0,"",COUNTIFS('Extração'!N:N,"Não",'Extração'!J:J,A697)/B697)</f>
        <v/>
      </c>
      <c r="H697" s="12" t="str">
        <f>IF(B697=0,"",COUNTIFS('Extração'!O:O,"Não",'Extração'!J:J,A697)/B697)</f>
        <v/>
      </c>
      <c r="I697" s="12" t="str">
        <f>IF(B697=0,"",COUNTIFS('Extração'!P:P,"Igual",'Extração'!J:J,A697)/B697)</f>
        <v/>
      </c>
    </row>
    <row r="698">
      <c r="B698" s="12">
        <f>COUNTIF('Extração'!J:J,A698)</f>
        <v>0</v>
      </c>
      <c r="C698" s="12" t="str">
        <f>IF(B698=0,"",COUNTIFS('Extração'!N:N,"Sim",'Extração'!J:J,A698)/B698)</f>
        <v/>
      </c>
      <c r="D698" s="12" t="str">
        <f>IF(B698=0,"",COUNTIFS('Extração'!O:O,"Sim",'Extração'!J:J,A698)/B698)</f>
        <v/>
      </c>
      <c r="E698" s="12" t="str">
        <f>IF(B698=0,"",COUNTIFS('Extração'!N:N,"Parcialmente",'Extração'!J:J,A698)/B698)</f>
        <v/>
      </c>
      <c r="F698" s="12" t="str">
        <f>IF(B698=0,"",COUNTIFS('Extração'!O:O,"Parcialmente",'Extração'!J:J,A698)/B698)</f>
        <v/>
      </c>
      <c r="G698" s="12" t="str">
        <f>IF(B698=0,"",COUNTIFS('Extração'!N:N,"Não",'Extração'!J:J,A698)/B698)</f>
        <v/>
      </c>
      <c r="H698" s="12" t="str">
        <f>IF(B698=0,"",COUNTIFS('Extração'!O:O,"Não",'Extração'!J:J,A698)/B698)</f>
        <v/>
      </c>
      <c r="I698" s="12" t="str">
        <f>IF(B698=0,"",COUNTIFS('Extração'!P:P,"Igual",'Extração'!J:J,A698)/B698)</f>
        <v/>
      </c>
    </row>
    <row r="699">
      <c r="B699" s="12">
        <f>COUNTIF('Extração'!J:J,A699)</f>
        <v>0</v>
      </c>
      <c r="C699" s="12" t="str">
        <f>IF(B699=0,"",COUNTIFS('Extração'!N:N,"Sim",'Extração'!J:J,A699)/B699)</f>
        <v/>
      </c>
      <c r="D699" s="12" t="str">
        <f>IF(B699=0,"",COUNTIFS('Extração'!O:O,"Sim",'Extração'!J:J,A699)/B699)</f>
        <v/>
      </c>
      <c r="E699" s="12" t="str">
        <f>IF(B699=0,"",COUNTIFS('Extração'!N:N,"Parcialmente",'Extração'!J:J,A699)/B699)</f>
        <v/>
      </c>
      <c r="F699" s="12" t="str">
        <f>IF(B699=0,"",COUNTIFS('Extração'!O:O,"Parcialmente",'Extração'!J:J,A699)/B699)</f>
        <v/>
      </c>
      <c r="G699" s="12" t="str">
        <f>IF(B699=0,"",COUNTIFS('Extração'!N:N,"Não",'Extração'!J:J,A699)/B699)</f>
        <v/>
      </c>
      <c r="H699" s="12" t="str">
        <f>IF(B699=0,"",COUNTIFS('Extração'!O:O,"Não",'Extração'!J:J,A699)/B699)</f>
        <v/>
      </c>
      <c r="I699" s="12" t="str">
        <f>IF(B699=0,"",COUNTIFS('Extração'!P:P,"Igual",'Extração'!J:J,A699)/B699)</f>
        <v/>
      </c>
    </row>
    <row r="700">
      <c r="B700" s="12">
        <f>COUNTIF('Extração'!J:J,A700)</f>
        <v>0</v>
      </c>
      <c r="C700" s="12" t="str">
        <f>IF(B700=0,"",COUNTIFS('Extração'!N:N,"Sim",'Extração'!J:J,A700)/B700)</f>
        <v/>
      </c>
      <c r="D700" s="12" t="str">
        <f>IF(B700=0,"",COUNTIFS('Extração'!O:O,"Sim",'Extração'!J:J,A700)/B700)</f>
        <v/>
      </c>
      <c r="E700" s="12" t="str">
        <f>IF(B700=0,"",COUNTIFS('Extração'!N:N,"Parcialmente",'Extração'!J:J,A700)/B700)</f>
        <v/>
      </c>
      <c r="F700" s="12" t="str">
        <f>IF(B700=0,"",COUNTIFS('Extração'!O:O,"Parcialmente",'Extração'!J:J,A700)/B700)</f>
        <v/>
      </c>
      <c r="G700" s="12" t="str">
        <f>IF(B700=0,"",COUNTIFS('Extração'!N:N,"Não",'Extração'!J:J,A700)/B700)</f>
        <v/>
      </c>
      <c r="H700" s="12" t="str">
        <f>IF(B700=0,"",COUNTIFS('Extração'!O:O,"Não",'Extração'!J:J,A700)/B700)</f>
        <v/>
      </c>
      <c r="I700" s="12" t="str">
        <f>IF(B700=0,"",COUNTIFS('Extração'!P:P,"Igual",'Extração'!J:J,A700)/B700)</f>
        <v/>
      </c>
    </row>
    <row r="701">
      <c r="B701" s="12">
        <f>COUNTIF('Extração'!J:J,A701)</f>
        <v>0</v>
      </c>
      <c r="C701" s="12" t="str">
        <f>IF(B701=0,"",COUNTIFS('Extração'!N:N,"Sim",'Extração'!J:J,A701)/B701)</f>
        <v/>
      </c>
      <c r="D701" s="12" t="str">
        <f>IF(B701=0,"",COUNTIFS('Extração'!O:O,"Sim",'Extração'!J:J,A701)/B701)</f>
        <v/>
      </c>
      <c r="E701" s="12" t="str">
        <f>IF(B701=0,"",COUNTIFS('Extração'!N:N,"Parcialmente",'Extração'!J:J,A701)/B701)</f>
        <v/>
      </c>
      <c r="F701" s="12" t="str">
        <f>IF(B701=0,"",COUNTIFS('Extração'!O:O,"Parcialmente",'Extração'!J:J,A701)/B701)</f>
        <v/>
      </c>
      <c r="G701" s="12" t="str">
        <f>IF(B701=0,"",COUNTIFS('Extração'!N:N,"Não",'Extração'!J:J,A701)/B701)</f>
        <v/>
      </c>
      <c r="H701" s="12" t="str">
        <f>IF(B701=0,"",COUNTIFS('Extração'!O:O,"Não",'Extração'!J:J,A701)/B701)</f>
        <v/>
      </c>
      <c r="I701" s="12" t="str">
        <f>IF(B701=0,"",COUNTIFS('Extração'!P:P,"Igual",'Extração'!J:J,A701)/B701)</f>
        <v/>
      </c>
    </row>
    <row r="702">
      <c r="B702" s="12">
        <f>COUNTIF('Extração'!J:J,A702)</f>
        <v>0</v>
      </c>
      <c r="C702" s="12" t="str">
        <f>IF(B702=0,"",COUNTIFS('Extração'!N:N,"Sim",'Extração'!J:J,A702)/B702)</f>
        <v/>
      </c>
      <c r="D702" s="12" t="str">
        <f>IF(B702=0,"",COUNTIFS('Extração'!O:O,"Sim",'Extração'!J:J,A702)/B702)</f>
        <v/>
      </c>
      <c r="E702" s="12" t="str">
        <f>IF(B702=0,"",COUNTIFS('Extração'!N:N,"Parcialmente",'Extração'!J:J,A702)/B702)</f>
        <v/>
      </c>
      <c r="F702" s="12" t="str">
        <f>IF(B702=0,"",COUNTIFS('Extração'!O:O,"Parcialmente",'Extração'!J:J,A702)/B702)</f>
        <v/>
      </c>
      <c r="G702" s="12" t="str">
        <f>IF(B702=0,"",COUNTIFS('Extração'!N:N,"Não",'Extração'!J:J,A702)/B702)</f>
        <v/>
      </c>
      <c r="H702" s="12" t="str">
        <f>IF(B702=0,"",COUNTIFS('Extração'!O:O,"Não",'Extração'!J:J,A702)/B702)</f>
        <v/>
      </c>
      <c r="I702" s="12" t="str">
        <f>IF(B702=0,"",COUNTIFS('Extração'!P:P,"Igual",'Extração'!J:J,A702)/B702)</f>
        <v/>
      </c>
    </row>
    <row r="703">
      <c r="B703" s="12">
        <f>COUNTIF('Extração'!J:J,A703)</f>
        <v>0</v>
      </c>
      <c r="C703" s="12" t="str">
        <f>IF(B703=0,"",COUNTIFS('Extração'!N:N,"Sim",'Extração'!J:J,A703)/B703)</f>
        <v/>
      </c>
      <c r="D703" s="12" t="str">
        <f>IF(B703=0,"",COUNTIFS('Extração'!O:O,"Sim",'Extração'!J:J,A703)/B703)</f>
        <v/>
      </c>
      <c r="E703" s="12" t="str">
        <f>IF(B703=0,"",COUNTIFS('Extração'!N:N,"Parcialmente",'Extração'!J:J,A703)/B703)</f>
        <v/>
      </c>
      <c r="F703" s="12" t="str">
        <f>IF(B703=0,"",COUNTIFS('Extração'!O:O,"Parcialmente",'Extração'!J:J,A703)/B703)</f>
        <v/>
      </c>
      <c r="G703" s="12" t="str">
        <f>IF(B703=0,"",COUNTIFS('Extração'!N:N,"Não",'Extração'!J:J,A703)/B703)</f>
        <v/>
      </c>
      <c r="H703" s="12" t="str">
        <f>IF(B703=0,"",COUNTIFS('Extração'!O:O,"Não",'Extração'!J:J,A703)/B703)</f>
        <v/>
      </c>
      <c r="I703" s="12" t="str">
        <f>IF(B703=0,"",COUNTIFS('Extração'!P:P,"Igual",'Extração'!J:J,A703)/B703)</f>
        <v/>
      </c>
    </row>
    <row r="704">
      <c r="B704" s="12">
        <f>COUNTIF('Extração'!J:J,A704)</f>
        <v>0</v>
      </c>
      <c r="C704" s="12" t="str">
        <f>IF(B704=0,"",COUNTIFS('Extração'!N:N,"Sim",'Extração'!J:J,A704)/B704)</f>
        <v/>
      </c>
      <c r="D704" s="12" t="str">
        <f>IF(B704=0,"",COUNTIFS('Extração'!O:O,"Sim",'Extração'!J:J,A704)/B704)</f>
        <v/>
      </c>
      <c r="E704" s="12" t="str">
        <f>IF(B704=0,"",COUNTIFS('Extração'!N:N,"Parcialmente",'Extração'!J:J,A704)/B704)</f>
        <v/>
      </c>
      <c r="F704" s="12" t="str">
        <f>IF(B704=0,"",COUNTIFS('Extração'!O:O,"Parcialmente",'Extração'!J:J,A704)/B704)</f>
        <v/>
      </c>
      <c r="G704" s="12" t="str">
        <f>IF(B704=0,"",COUNTIFS('Extração'!N:N,"Não",'Extração'!J:J,A704)/B704)</f>
        <v/>
      </c>
      <c r="H704" s="12" t="str">
        <f>IF(B704=0,"",COUNTIFS('Extração'!O:O,"Não",'Extração'!J:J,A704)/B704)</f>
        <v/>
      </c>
      <c r="I704" s="12" t="str">
        <f>IF(B704=0,"",COUNTIFS('Extração'!P:P,"Igual",'Extração'!J:J,A704)/B704)</f>
        <v/>
      </c>
    </row>
    <row r="705">
      <c r="B705" s="12">
        <f>COUNTIF('Extração'!J:J,A705)</f>
        <v>0</v>
      </c>
      <c r="C705" s="12" t="str">
        <f>IF(B705=0,"",COUNTIFS('Extração'!N:N,"Sim",'Extração'!J:J,A705)/B705)</f>
        <v/>
      </c>
      <c r="D705" s="12" t="str">
        <f>IF(B705=0,"",COUNTIFS('Extração'!O:O,"Sim",'Extração'!J:J,A705)/B705)</f>
        <v/>
      </c>
      <c r="E705" s="12" t="str">
        <f>IF(B705=0,"",COUNTIFS('Extração'!N:N,"Parcialmente",'Extração'!J:J,A705)/B705)</f>
        <v/>
      </c>
      <c r="F705" s="12" t="str">
        <f>IF(B705=0,"",COUNTIFS('Extração'!O:O,"Parcialmente",'Extração'!J:J,A705)/B705)</f>
        <v/>
      </c>
      <c r="G705" s="12" t="str">
        <f>IF(B705=0,"",COUNTIFS('Extração'!N:N,"Não",'Extração'!J:J,A705)/B705)</f>
        <v/>
      </c>
      <c r="H705" s="12" t="str">
        <f>IF(B705=0,"",COUNTIFS('Extração'!O:O,"Não",'Extração'!J:J,A705)/B705)</f>
        <v/>
      </c>
      <c r="I705" s="12" t="str">
        <f>IF(B705=0,"",COUNTIFS('Extração'!P:P,"Igual",'Extração'!J:J,A705)/B705)</f>
        <v/>
      </c>
    </row>
    <row r="706">
      <c r="B706" s="12">
        <f>COUNTIF('Extração'!J:J,A706)</f>
        <v>0</v>
      </c>
      <c r="C706" s="12" t="str">
        <f>IF(B706=0,"",COUNTIFS('Extração'!N:N,"Sim",'Extração'!J:J,A706)/B706)</f>
        <v/>
      </c>
      <c r="D706" s="12" t="str">
        <f>IF(B706=0,"",COUNTIFS('Extração'!O:O,"Sim",'Extração'!J:J,A706)/B706)</f>
        <v/>
      </c>
      <c r="E706" s="12" t="str">
        <f>IF(B706=0,"",COUNTIFS('Extração'!N:N,"Parcialmente",'Extração'!J:J,A706)/B706)</f>
        <v/>
      </c>
      <c r="F706" s="12" t="str">
        <f>IF(B706=0,"",COUNTIFS('Extração'!O:O,"Parcialmente",'Extração'!J:J,A706)/B706)</f>
        <v/>
      </c>
      <c r="G706" s="12" t="str">
        <f>IF(B706=0,"",COUNTIFS('Extração'!N:N,"Não",'Extração'!J:J,A706)/B706)</f>
        <v/>
      </c>
      <c r="H706" s="12" t="str">
        <f>IF(B706=0,"",COUNTIFS('Extração'!O:O,"Não",'Extração'!J:J,A706)/B706)</f>
        <v/>
      </c>
      <c r="I706" s="12" t="str">
        <f>IF(B706=0,"",COUNTIFS('Extração'!P:P,"Igual",'Extração'!J:J,A706)/B706)</f>
        <v/>
      </c>
    </row>
    <row r="707">
      <c r="B707" s="12">
        <f>COUNTIF('Extração'!J:J,A707)</f>
        <v>0</v>
      </c>
      <c r="C707" s="12" t="str">
        <f>IF(B707=0,"",COUNTIFS('Extração'!N:N,"Sim",'Extração'!J:J,A707)/B707)</f>
        <v/>
      </c>
      <c r="D707" s="12" t="str">
        <f>IF(B707=0,"",COUNTIFS('Extração'!O:O,"Sim",'Extração'!J:J,A707)/B707)</f>
        <v/>
      </c>
      <c r="E707" s="12" t="str">
        <f>IF(B707=0,"",COUNTIFS('Extração'!N:N,"Parcialmente",'Extração'!J:J,A707)/B707)</f>
        <v/>
      </c>
      <c r="F707" s="12" t="str">
        <f>IF(B707=0,"",COUNTIFS('Extração'!O:O,"Parcialmente",'Extração'!J:J,A707)/B707)</f>
        <v/>
      </c>
      <c r="G707" s="12" t="str">
        <f>IF(B707=0,"",COUNTIFS('Extração'!N:N,"Não",'Extração'!J:J,A707)/B707)</f>
        <v/>
      </c>
      <c r="H707" s="12" t="str">
        <f>IF(B707=0,"",COUNTIFS('Extração'!O:O,"Não",'Extração'!J:J,A707)/B707)</f>
        <v/>
      </c>
      <c r="I707" s="12" t="str">
        <f>IF(B707=0,"",COUNTIFS('Extração'!P:P,"Igual",'Extração'!J:J,A707)/B707)</f>
        <v/>
      </c>
    </row>
    <row r="708">
      <c r="B708" s="12">
        <f>COUNTIF('Extração'!J:J,A708)</f>
        <v>0</v>
      </c>
      <c r="C708" s="12" t="str">
        <f>IF(B708=0,"",COUNTIFS('Extração'!N:N,"Sim",'Extração'!J:J,A708)/B708)</f>
        <v/>
      </c>
      <c r="D708" s="12" t="str">
        <f>IF(B708=0,"",COUNTIFS('Extração'!O:O,"Sim",'Extração'!J:J,A708)/B708)</f>
        <v/>
      </c>
      <c r="E708" s="12" t="str">
        <f>IF(B708=0,"",COUNTIFS('Extração'!N:N,"Parcialmente",'Extração'!J:J,A708)/B708)</f>
        <v/>
      </c>
      <c r="F708" s="12" t="str">
        <f>IF(B708=0,"",COUNTIFS('Extração'!O:O,"Parcialmente",'Extração'!J:J,A708)/B708)</f>
        <v/>
      </c>
      <c r="G708" s="12" t="str">
        <f>IF(B708=0,"",COUNTIFS('Extração'!N:N,"Não",'Extração'!J:J,A708)/B708)</f>
        <v/>
      </c>
      <c r="H708" s="12" t="str">
        <f>IF(B708=0,"",COUNTIFS('Extração'!O:O,"Não",'Extração'!J:J,A708)/B708)</f>
        <v/>
      </c>
      <c r="I708" s="12" t="str">
        <f>IF(B708=0,"",COUNTIFS('Extração'!P:P,"Igual",'Extração'!J:J,A708)/B708)</f>
        <v/>
      </c>
    </row>
    <row r="709">
      <c r="B709" s="12">
        <f>COUNTIF('Extração'!J:J,A709)</f>
        <v>0</v>
      </c>
      <c r="C709" s="12" t="str">
        <f>IF(B709=0,"",COUNTIFS('Extração'!N:N,"Sim",'Extração'!J:J,A709)/B709)</f>
        <v/>
      </c>
      <c r="D709" s="12" t="str">
        <f>IF(B709=0,"",COUNTIFS('Extração'!O:O,"Sim",'Extração'!J:J,A709)/B709)</f>
        <v/>
      </c>
      <c r="E709" s="12" t="str">
        <f>IF(B709=0,"",COUNTIFS('Extração'!N:N,"Parcialmente",'Extração'!J:J,A709)/B709)</f>
        <v/>
      </c>
      <c r="F709" s="12" t="str">
        <f>IF(B709=0,"",COUNTIFS('Extração'!O:O,"Parcialmente",'Extração'!J:J,A709)/B709)</f>
        <v/>
      </c>
      <c r="G709" s="12" t="str">
        <f>IF(B709=0,"",COUNTIFS('Extração'!N:N,"Não",'Extração'!J:J,A709)/B709)</f>
        <v/>
      </c>
      <c r="H709" s="12" t="str">
        <f>IF(B709=0,"",COUNTIFS('Extração'!O:O,"Não",'Extração'!J:J,A709)/B709)</f>
        <v/>
      </c>
      <c r="I709" s="12" t="str">
        <f>IF(B709=0,"",COUNTIFS('Extração'!P:P,"Igual",'Extração'!J:J,A709)/B709)</f>
        <v/>
      </c>
    </row>
    <row r="710">
      <c r="B710" s="12">
        <f>COUNTIF('Extração'!J:J,A710)</f>
        <v>0</v>
      </c>
      <c r="C710" s="12" t="str">
        <f>IF(B710=0,"",COUNTIFS('Extração'!N:N,"Sim",'Extração'!J:J,A710)/B710)</f>
        <v/>
      </c>
      <c r="D710" s="12" t="str">
        <f>IF(B710=0,"",COUNTIFS('Extração'!O:O,"Sim",'Extração'!J:J,A710)/B710)</f>
        <v/>
      </c>
      <c r="E710" s="12" t="str">
        <f>IF(B710=0,"",COUNTIFS('Extração'!N:N,"Parcialmente",'Extração'!J:J,A710)/B710)</f>
        <v/>
      </c>
      <c r="F710" s="12" t="str">
        <f>IF(B710=0,"",COUNTIFS('Extração'!O:O,"Parcialmente",'Extração'!J:J,A710)/B710)</f>
        <v/>
      </c>
      <c r="G710" s="12" t="str">
        <f>IF(B710=0,"",COUNTIFS('Extração'!N:N,"Não",'Extração'!J:J,A710)/B710)</f>
        <v/>
      </c>
      <c r="H710" s="12" t="str">
        <f>IF(B710=0,"",COUNTIFS('Extração'!O:O,"Não",'Extração'!J:J,A710)/B710)</f>
        <v/>
      </c>
      <c r="I710" s="12" t="str">
        <f>IF(B710=0,"",COUNTIFS('Extração'!P:P,"Igual",'Extração'!J:J,A710)/B710)</f>
        <v/>
      </c>
    </row>
    <row r="711">
      <c r="B711" s="12">
        <f>COUNTIF('Extração'!J:J,A711)</f>
        <v>0</v>
      </c>
      <c r="C711" s="12" t="str">
        <f>IF(B711=0,"",COUNTIFS('Extração'!N:N,"Sim",'Extração'!J:J,A711)/B711)</f>
        <v/>
      </c>
      <c r="D711" s="12" t="str">
        <f>IF(B711=0,"",COUNTIFS('Extração'!O:O,"Sim",'Extração'!J:J,A711)/B711)</f>
        <v/>
      </c>
      <c r="E711" s="12" t="str">
        <f>IF(B711=0,"",COUNTIFS('Extração'!N:N,"Parcialmente",'Extração'!J:J,A711)/B711)</f>
        <v/>
      </c>
      <c r="F711" s="12" t="str">
        <f>IF(B711=0,"",COUNTIFS('Extração'!O:O,"Parcialmente",'Extração'!J:J,A711)/B711)</f>
        <v/>
      </c>
      <c r="G711" s="12" t="str">
        <f>IF(B711=0,"",COUNTIFS('Extração'!N:N,"Não",'Extração'!J:J,A711)/B711)</f>
        <v/>
      </c>
      <c r="H711" s="12" t="str">
        <f>IF(B711=0,"",COUNTIFS('Extração'!O:O,"Não",'Extração'!J:J,A711)/B711)</f>
        <v/>
      </c>
      <c r="I711" s="12" t="str">
        <f>IF(B711=0,"",COUNTIFS('Extração'!P:P,"Igual",'Extração'!J:J,A711)/B711)</f>
        <v/>
      </c>
    </row>
    <row r="712">
      <c r="B712" s="12">
        <f>COUNTIF('Extração'!J:J,A712)</f>
        <v>0</v>
      </c>
      <c r="C712" s="12" t="str">
        <f>IF(B712=0,"",COUNTIFS('Extração'!N:N,"Sim",'Extração'!J:J,A712)/B712)</f>
        <v/>
      </c>
      <c r="D712" s="12" t="str">
        <f>IF(B712=0,"",COUNTIFS('Extração'!O:O,"Sim",'Extração'!J:J,A712)/B712)</f>
        <v/>
      </c>
      <c r="E712" s="12" t="str">
        <f>IF(B712=0,"",COUNTIFS('Extração'!N:N,"Parcialmente",'Extração'!J:J,A712)/B712)</f>
        <v/>
      </c>
      <c r="F712" s="12" t="str">
        <f>IF(B712=0,"",COUNTIFS('Extração'!O:O,"Parcialmente",'Extração'!J:J,A712)/B712)</f>
        <v/>
      </c>
      <c r="G712" s="12" t="str">
        <f>IF(B712=0,"",COUNTIFS('Extração'!N:N,"Não",'Extração'!J:J,A712)/B712)</f>
        <v/>
      </c>
      <c r="H712" s="12" t="str">
        <f>IF(B712=0,"",COUNTIFS('Extração'!O:O,"Não",'Extração'!J:J,A712)/B712)</f>
        <v/>
      </c>
      <c r="I712" s="12" t="str">
        <f>IF(B712=0,"",COUNTIFS('Extração'!P:P,"Igual",'Extração'!J:J,A712)/B712)</f>
        <v/>
      </c>
    </row>
    <row r="713">
      <c r="B713" s="12">
        <f>COUNTIF('Extração'!J:J,A713)</f>
        <v>0</v>
      </c>
      <c r="C713" s="12" t="str">
        <f>IF(B713=0,"",COUNTIFS('Extração'!N:N,"Sim",'Extração'!J:J,A713)/B713)</f>
        <v/>
      </c>
      <c r="D713" s="12" t="str">
        <f>IF(B713=0,"",COUNTIFS('Extração'!O:O,"Sim",'Extração'!J:J,A713)/B713)</f>
        <v/>
      </c>
      <c r="E713" s="12" t="str">
        <f>IF(B713=0,"",COUNTIFS('Extração'!N:N,"Parcialmente",'Extração'!J:J,A713)/B713)</f>
        <v/>
      </c>
      <c r="F713" s="12" t="str">
        <f>IF(B713=0,"",COUNTIFS('Extração'!O:O,"Parcialmente",'Extração'!J:J,A713)/B713)</f>
        <v/>
      </c>
      <c r="G713" s="12" t="str">
        <f>IF(B713=0,"",COUNTIFS('Extração'!N:N,"Não",'Extração'!J:J,A713)/B713)</f>
        <v/>
      </c>
      <c r="H713" s="12" t="str">
        <f>IF(B713=0,"",COUNTIFS('Extração'!O:O,"Não",'Extração'!J:J,A713)/B713)</f>
        <v/>
      </c>
      <c r="I713" s="12" t="str">
        <f>IF(B713=0,"",COUNTIFS('Extração'!P:P,"Igual",'Extração'!J:J,A713)/B713)</f>
        <v/>
      </c>
    </row>
    <row r="714">
      <c r="B714" s="12">
        <f>COUNTIF('Extração'!J:J,A714)</f>
        <v>0</v>
      </c>
      <c r="C714" s="12" t="str">
        <f>IF(B714=0,"",COUNTIFS('Extração'!N:N,"Sim",'Extração'!J:J,A714)/B714)</f>
        <v/>
      </c>
      <c r="D714" s="12" t="str">
        <f>IF(B714=0,"",COUNTIFS('Extração'!O:O,"Sim",'Extração'!J:J,A714)/B714)</f>
        <v/>
      </c>
      <c r="E714" s="12" t="str">
        <f>IF(B714=0,"",COUNTIFS('Extração'!N:N,"Parcialmente",'Extração'!J:J,A714)/B714)</f>
        <v/>
      </c>
      <c r="F714" s="12" t="str">
        <f>IF(B714=0,"",COUNTIFS('Extração'!O:O,"Parcialmente",'Extração'!J:J,A714)/B714)</f>
        <v/>
      </c>
      <c r="G714" s="12" t="str">
        <f>IF(B714=0,"",COUNTIFS('Extração'!N:N,"Não",'Extração'!J:J,A714)/B714)</f>
        <v/>
      </c>
      <c r="H714" s="12" t="str">
        <f>IF(B714=0,"",COUNTIFS('Extração'!O:O,"Não",'Extração'!J:J,A714)/B714)</f>
        <v/>
      </c>
      <c r="I714" s="12" t="str">
        <f>IF(B714=0,"",COUNTIFS('Extração'!P:P,"Igual",'Extração'!J:J,A714)/B714)</f>
        <v/>
      </c>
    </row>
    <row r="715">
      <c r="B715" s="12">
        <f>COUNTIF('Extração'!J:J,A715)</f>
        <v>0</v>
      </c>
      <c r="C715" s="12" t="str">
        <f>IF(B715=0,"",COUNTIFS('Extração'!N:N,"Sim",'Extração'!J:J,A715)/B715)</f>
        <v/>
      </c>
      <c r="D715" s="12" t="str">
        <f>IF(B715=0,"",COUNTIFS('Extração'!O:O,"Sim",'Extração'!J:J,A715)/B715)</f>
        <v/>
      </c>
      <c r="E715" s="12" t="str">
        <f>IF(B715=0,"",COUNTIFS('Extração'!N:N,"Parcialmente",'Extração'!J:J,A715)/B715)</f>
        <v/>
      </c>
      <c r="F715" s="12" t="str">
        <f>IF(B715=0,"",COUNTIFS('Extração'!O:O,"Parcialmente",'Extração'!J:J,A715)/B715)</f>
        <v/>
      </c>
      <c r="G715" s="12" t="str">
        <f>IF(B715=0,"",COUNTIFS('Extração'!N:N,"Não",'Extração'!J:J,A715)/B715)</f>
        <v/>
      </c>
      <c r="H715" s="12" t="str">
        <f>IF(B715=0,"",COUNTIFS('Extração'!O:O,"Não",'Extração'!J:J,A715)/B715)</f>
        <v/>
      </c>
      <c r="I715" s="12" t="str">
        <f>IF(B715=0,"",COUNTIFS('Extração'!P:P,"Igual",'Extração'!J:J,A715)/B715)</f>
        <v/>
      </c>
    </row>
    <row r="716">
      <c r="B716" s="12">
        <f>COUNTIF('Extração'!J:J,A716)</f>
        <v>0</v>
      </c>
      <c r="C716" s="12" t="str">
        <f>IF(B716=0,"",COUNTIFS('Extração'!N:N,"Sim",'Extração'!J:J,A716)/B716)</f>
        <v/>
      </c>
      <c r="D716" s="12" t="str">
        <f>IF(B716=0,"",COUNTIFS('Extração'!O:O,"Sim",'Extração'!J:J,A716)/B716)</f>
        <v/>
      </c>
      <c r="E716" s="12" t="str">
        <f>IF(B716=0,"",COUNTIFS('Extração'!N:N,"Parcialmente",'Extração'!J:J,A716)/B716)</f>
        <v/>
      </c>
      <c r="F716" s="12" t="str">
        <f>IF(B716=0,"",COUNTIFS('Extração'!O:O,"Parcialmente",'Extração'!J:J,A716)/B716)</f>
        <v/>
      </c>
      <c r="G716" s="12" t="str">
        <f>IF(B716=0,"",COUNTIFS('Extração'!N:N,"Não",'Extração'!J:J,A716)/B716)</f>
        <v/>
      </c>
      <c r="H716" s="12" t="str">
        <f>IF(B716=0,"",COUNTIFS('Extração'!O:O,"Não",'Extração'!J:J,A716)/B716)</f>
        <v/>
      </c>
      <c r="I716" s="12" t="str">
        <f>IF(B716=0,"",COUNTIFS('Extração'!P:P,"Igual",'Extração'!J:J,A716)/B716)</f>
        <v/>
      </c>
    </row>
    <row r="717">
      <c r="B717" s="12">
        <f>COUNTIF('Extração'!J:J,A717)</f>
        <v>0</v>
      </c>
      <c r="C717" s="12" t="str">
        <f>IF(B717=0,"",COUNTIFS('Extração'!N:N,"Sim",'Extração'!J:J,A717)/B717)</f>
        <v/>
      </c>
      <c r="D717" s="12" t="str">
        <f>IF(B717=0,"",COUNTIFS('Extração'!O:O,"Sim",'Extração'!J:J,A717)/B717)</f>
        <v/>
      </c>
      <c r="E717" s="12" t="str">
        <f>IF(B717=0,"",COUNTIFS('Extração'!N:N,"Parcialmente",'Extração'!J:J,A717)/B717)</f>
        <v/>
      </c>
      <c r="F717" s="12" t="str">
        <f>IF(B717=0,"",COUNTIFS('Extração'!O:O,"Parcialmente",'Extração'!J:J,A717)/B717)</f>
        <v/>
      </c>
      <c r="G717" s="12" t="str">
        <f>IF(B717=0,"",COUNTIFS('Extração'!N:N,"Não",'Extração'!J:J,A717)/B717)</f>
        <v/>
      </c>
      <c r="H717" s="12" t="str">
        <f>IF(B717=0,"",COUNTIFS('Extração'!O:O,"Não",'Extração'!J:J,A717)/B717)</f>
        <v/>
      </c>
      <c r="I717" s="12" t="str">
        <f>IF(B717=0,"",COUNTIFS('Extração'!P:P,"Igual",'Extração'!J:J,A717)/B717)</f>
        <v/>
      </c>
    </row>
    <row r="718">
      <c r="B718" s="12">
        <f>COUNTIF('Extração'!J:J,A718)</f>
        <v>0</v>
      </c>
      <c r="C718" s="12" t="str">
        <f>IF(B718=0,"",COUNTIFS('Extração'!N:N,"Sim",'Extração'!J:J,A718)/B718)</f>
        <v/>
      </c>
      <c r="D718" s="12" t="str">
        <f>IF(B718=0,"",COUNTIFS('Extração'!O:O,"Sim",'Extração'!J:J,A718)/B718)</f>
        <v/>
      </c>
      <c r="E718" s="12" t="str">
        <f>IF(B718=0,"",COUNTIFS('Extração'!N:N,"Parcialmente",'Extração'!J:J,A718)/B718)</f>
        <v/>
      </c>
      <c r="F718" s="12" t="str">
        <f>IF(B718=0,"",COUNTIFS('Extração'!O:O,"Parcialmente",'Extração'!J:J,A718)/B718)</f>
        <v/>
      </c>
      <c r="G718" s="12" t="str">
        <f>IF(B718=0,"",COUNTIFS('Extração'!N:N,"Não",'Extração'!J:J,A718)/B718)</f>
        <v/>
      </c>
      <c r="H718" s="12" t="str">
        <f>IF(B718=0,"",COUNTIFS('Extração'!O:O,"Não",'Extração'!J:J,A718)/B718)</f>
        <v/>
      </c>
      <c r="I718" s="12" t="str">
        <f>IF(B718=0,"",COUNTIFS('Extração'!P:P,"Igual",'Extração'!J:J,A718)/B718)</f>
        <v/>
      </c>
    </row>
    <row r="719">
      <c r="B719" s="12">
        <f>COUNTIF('Extração'!J:J,A719)</f>
        <v>0</v>
      </c>
      <c r="C719" s="12" t="str">
        <f>IF(B719=0,"",COUNTIFS('Extração'!N:N,"Sim",'Extração'!J:J,A719)/B719)</f>
        <v/>
      </c>
      <c r="D719" s="12" t="str">
        <f>IF(B719=0,"",COUNTIFS('Extração'!O:O,"Sim",'Extração'!J:J,A719)/B719)</f>
        <v/>
      </c>
      <c r="E719" s="12" t="str">
        <f>IF(B719=0,"",COUNTIFS('Extração'!N:N,"Parcialmente",'Extração'!J:J,A719)/B719)</f>
        <v/>
      </c>
      <c r="F719" s="12" t="str">
        <f>IF(B719=0,"",COUNTIFS('Extração'!O:O,"Parcialmente",'Extração'!J:J,A719)/B719)</f>
        <v/>
      </c>
      <c r="G719" s="12" t="str">
        <f>IF(B719=0,"",COUNTIFS('Extração'!N:N,"Não",'Extração'!J:J,A719)/B719)</f>
        <v/>
      </c>
      <c r="H719" s="12" t="str">
        <f>IF(B719=0,"",COUNTIFS('Extração'!O:O,"Não",'Extração'!J:J,A719)/B719)</f>
        <v/>
      </c>
      <c r="I719" s="12" t="str">
        <f>IF(B719=0,"",COUNTIFS('Extração'!P:P,"Igual",'Extração'!J:J,A719)/B719)</f>
        <v/>
      </c>
    </row>
    <row r="720">
      <c r="B720" s="12">
        <f>COUNTIF('Extração'!J:J,A720)</f>
        <v>0</v>
      </c>
      <c r="C720" s="12" t="str">
        <f>IF(B720=0,"",COUNTIFS('Extração'!N:N,"Sim",'Extração'!J:J,A720)/B720)</f>
        <v/>
      </c>
      <c r="D720" s="12" t="str">
        <f>IF(B720=0,"",COUNTIFS('Extração'!O:O,"Sim",'Extração'!J:J,A720)/B720)</f>
        <v/>
      </c>
      <c r="E720" s="12" t="str">
        <f>IF(B720=0,"",COUNTIFS('Extração'!N:N,"Parcialmente",'Extração'!J:J,A720)/B720)</f>
        <v/>
      </c>
      <c r="F720" s="12" t="str">
        <f>IF(B720=0,"",COUNTIFS('Extração'!O:O,"Parcialmente",'Extração'!J:J,A720)/B720)</f>
        <v/>
      </c>
      <c r="G720" s="12" t="str">
        <f>IF(B720=0,"",COUNTIFS('Extração'!N:N,"Não",'Extração'!J:J,A720)/B720)</f>
        <v/>
      </c>
      <c r="H720" s="12" t="str">
        <f>IF(B720=0,"",COUNTIFS('Extração'!O:O,"Não",'Extração'!J:J,A720)/B720)</f>
        <v/>
      </c>
      <c r="I720" s="12" t="str">
        <f>IF(B720=0,"",COUNTIFS('Extração'!P:P,"Igual",'Extração'!J:J,A720)/B720)</f>
        <v/>
      </c>
    </row>
    <row r="721">
      <c r="B721" s="12">
        <f>COUNTIF('Extração'!J:J,A721)</f>
        <v>0</v>
      </c>
      <c r="C721" s="12" t="str">
        <f>IF(B721=0,"",COUNTIFS('Extração'!N:N,"Sim",'Extração'!J:J,A721)/B721)</f>
        <v/>
      </c>
      <c r="D721" s="12" t="str">
        <f>IF(B721=0,"",COUNTIFS('Extração'!O:O,"Sim",'Extração'!J:J,A721)/B721)</f>
        <v/>
      </c>
      <c r="E721" s="12" t="str">
        <f>IF(B721=0,"",COUNTIFS('Extração'!N:N,"Parcialmente",'Extração'!J:J,A721)/B721)</f>
        <v/>
      </c>
      <c r="F721" s="12" t="str">
        <f>IF(B721=0,"",COUNTIFS('Extração'!O:O,"Parcialmente",'Extração'!J:J,A721)/B721)</f>
        <v/>
      </c>
      <c r="G721" s="12" t="str">
        <f>IF(B721=0,"",COUNTIFS('Extração'!N:N,"Não",'Extração'!J:J,A721)/B721)</f>
        <v/>
      </c>
      <c r="H721" s="12" t="str">
        <f>IF(B721=0,"",COUNTIFS('Extração'!O:O,"Não",'Extração'!J:J,A721)/B721)</f>
        <v/>
      </c>
      <c r="I721" s="12" t="str">
        <f>IF(B721=0,"",COUNTIFS('Extração'!P:P,"Igual",'Extração'!J:J,A721)/B721)</f>
        <v/>
      </c>
    </row>
    <row r="722">
      <c r="B722" s="12">
        <f>COUNTIF('Extração'!J:J,A722)</f>
        <v>0</v>
      </c>
      <c r="C722" s="12" t="str">
        <f>IF(B722=0,"",COUNTIFS('Extração'!N:N,"Sim",'Extração'!J:J,A722)/B722)</f>
        <v/>
      </c>
      <c r="D722" s="12" t="str">
        <f>IF(B722=0,"",COUNTIFS('Extração'!O:O,"Sim",'Extração'!J:J,A722)/B722)</f>
        <v/>
      </c>
      <c r="E722" s="12" t="str">
        <f>IF(B722=0,"",COUNTIFS('Extração'!N:N,"Parcialmente",'Extração'!J:J,A722)/B722)</f>
        <v/>
      </c>
      <c r="F722" s="12" t="str">
        <f>IF(B722=0,"",COUNTIFS('Extração'!O:O,"Parcialmente",'Extração'!J:J,A722)/B722)</f>
        <v/>
      </c>
      <c r="G722" s="12" t="str">
        <f>IF(B722=0,"",COUNTIFS('Extração'!N:N,"Não",'Extração'!J:J,A722)/B722)</f>
        <v/>
      </c>
      <c r="H722" s="12" t="str">
        <f>IF(B722=0,"",COUNTIFS('Extração'!O:O,"Não",'Extração'!J:J,A722)/B722)</f>
        <v/>
      </c>
      <c r="I722" s="12" t="str">
        <f>IF(B722=0,"",COUNTIFS('Extração'!P:P,"Igual",'Extração'!J:J,A722)/B722)</f>
        <v/>
      </c>
    </row>
    <row r="723">
      <c r="B723" s="12">
        <f>COUNTIF('Extração'!J:J,A723)</f>
        <v>0</v>
      </c>
      <c r="C723" s="12" t="str">
        <f>IF(B723=0,"",COUNTIFS('Extração'!N:N,"Sim",'Extração'!J:J,A723)/B723)</f>
        <v/>
      </c>
      <c r="D723" s="12" t="str">
        <f>IF(B723=0,"",COUNTIFS('Extração'!O:O,"Sim",'Extração'!J:J,A723)/B723)</f>
        <v/>
      </c>
      <c r="E723" s="12" t="str">
        <f>IF(B723=0,"",COUNTIFS('Extração'!N:N,"Parcialmente",'Extração'!J:J,A723)/B723)</f>
        <v/>
      </c>
      <c r="F723" s="12" t="str">
        <f>IF(B723=0,"",COUNTIFS('Extração'!O:O,"Parcialmente",'Extração'!J:J,A723)/B723)</f>
        <v/>
      </c>
      <c r="G723" s="12" t="str">
        <f>IF(B723=0,"",COUNTIFS('Extração'!N:N,"Não",'Extração'!J:J,A723)/B723)</f>
        <v/>
      </c>
      <c r="H723" s="12" t="str">
        <f>IF(B723=0,"",COUNTIFS('Extração'!O:O,"Não",'Extração'!J:J,A723)/B723)</f>
        <v/>
      </c>
      <c r="I723" s="12" t="str">
        <f>IF(B723=0,"",COUNTIFS('Extração'!P:P,"Igual",'Extração'!J:J,A723)/B723)</f>
        <v/>
      </c>
    </row>
    <row r="724">
      <c r="B724" s="12">
        <f>COUNTIF('Extração'!J:J,A724)</f>
        <v>0</v>
      </c>
      <c r="C724" s="12" t="str">
        <f>IF(B724=0,"",COUNTIFS('Extração'!N:N,"Sim",'Extração'!J:J,A724)/B724)</f>
        <v/>
      </c>
      <c r="D724" s="12" t="str">
        <f>IF(B724=0,"",COUNTIFS('Extração'!O:O,"Sim",'Extração'!J:J,A724)/B724)</f>
        <v/>
      </c>
      <c r="E724" s="12" t="str">
        <f>IF(B724=0,"",COUNTIFS('Extração'!N:N,"Parcialmente",'Extração'!J:J,A724)/B724)</f>
        <v/>
      </c>
      <c r="F724" s="12" t="str">
        <f>IF(B724=0,"",COUNTIFS('Extração'!O:O,"Parcialmente",'Extração'!J:J,A724)/B724)</f>
        <v/>
      </c>
      <c r="G724" s="12" t="str">
        <f>IF(B724=0,"",COUNTIFS('Extração'!N:N,"Não",'Extração'!J:J,A724)/B724)</f>
        <v/>
      </c>
      <c r="H724" s="12" t="str">
        <f>IF(B724=0,"",COUNTIFS('Extração'!O:O,"Não",'Extração'!J:J,A724)/B724)</f>
        <v/>
      </c>
      <c r="I724" s="12" t="str">
        <f>IF(B724=0,"",COUNTIFS('Extração'!P:P,"Igual",'Extração'!J:J,A724)/B724)</f>
        <v/>
      </c>
    </row>
    <row r="725">
      <c r="B725" s="12">
        <f>COUNTIF('Extração'!J:J,A725)</f>
        <v>0</v>
      </c>
      <c r="C725" s="12" t="str">
        <f>IF(B725=0,"",COUNTIFS('Extração'!N:N,"Sim",'Extração'!J:J,A725)/B725)</f>
        <v/>
      </c>
      <c r="D725" s="12" t="str">
        <f>IF(B725=0,"",COUNTIFS('Extração'!O:O,"Sim",'Extração'!J:J,A725)/B725)</f>
        <v/>
      </c>
      <c r="E725" s="12" t="str">
        <f>IF(B725=0,"",COUNTIFS('Extração'!N:N,"Parcialmente",'Extração'!J:J,A725)/B725)</f>
        <v/>
      </c>
      <c r="F725" s="12" t="str">
        <f>IF(B725=0,"",COUNTIFS('Extração'!O:O,"Parcialmente",'Extração'!J:J,A725)/B725)</f>
        <v/>
      </c>
      <c r="G725" s="12" t="str">
        <f>IF(B725=0,"",COUNTIFS('Extração'!N:N,"Não",'Extração'!J:J,A725)/B725)</f>
        <v/>
      </c>
      <c r="H725" s="12" t="str">
        <f>IF(B725=0,"",COUNTIFS('Extração'!O:O,"Não",'Extração'!J:J,A725)/B725)</f>
        <v/>
      </c>
      <c r="I725" s="12" t="str">
        <f>IF(B725=0,"",COUNTIFS('Extração'!P:P,"Igual",'Extração'!J:J,A725)/B725)</f>
        <v/>
      </c>
    </row>
    <row r="726">
      <c r="B726" s="12">
        <f>COUNTIF('Extração'!J:J,A726)</f>
        <v>0</v>
      </c>
      <c r="C726" s="12" t="str">
        <f>IF(B726=0,"",COUNTIFS('Extração'!N:N,"Sim",'Extração'!J:J,A726)/B726)</f>
        <v/>
      </c>
      <c r="D726" s="12" t="str">
        <f>IF(B726=0,"",COUNTIFS('Extração'!O:O,"Sim",'Extração'!J:J,A726)/B726)</f>
        <v/>
      </c>
      <c r="E726" s="12" t="str">
        <f>IF(B726=0,"",COUNTIFS('Extração'!N:N,"Parcialmente",'Extração'!J:J,A726)/B726)</f>
        <v/>
      </c>
      <c r="F726" s="12" t="str">
        <f>IF(B726=0,"",COUNTIFS('Extração'!O:O,"Parcialmente",'Extração'!J:J,A726)/B726)</f>
        <v/>
      </c>
      <c r="G726" s="12" t="str">
        <f>IF(B726=0,"",COUNTIFS('Extração'!N:N,"Não",'Extração'!J:J,A726)/B726)</f>
        <v/>
      </c>
      <c r="H726" s="12" t="str">
        <f>IF(B726=0,"",COUNTIFS('Extração'!O:O,"Não",'Extração'!J:J,A726)/B726)</f>
        <v/>
      </c>
      <c r="I726" s="12" t="str">
        <f>IF(B726=0,"",COUNTIFS('Extração'!P:P,"Igual",'Extração'!J:J,A726)/B726)</f>
        <v/>
      </c>
    </row>
    <row r="727">
      <c r="B727" s="12">
        <f>COUNTIF('Extração'!J:J,A727)</f>
        <v>0</v>
      </c>
      <c r="C727" s="12" t="str">
        <f>IF(B727=0,"",COUNTIFS('Extração'!N:N,"Sim",'Extração'!J:J,A727)/B727)</f>
        <v/>
      </c>
      <c r="D727" s="12" t="str">
        <f>IF(B727=0,"",COUNTIFS('Extração'!O:O,"Sim",'Extração'!J:J,A727)/B727)</f>
        <v/>
      </c>
      <c r="E727" s="12" t="str">
        <f>IF(B727=0,"",COUNTIFS('Extração'!N:N,"Parcialmente",'Extração'!J:J,A727)/B727)</f>
        <v/>
      </c>
      <c r="F727" s="12" t="str">
        <f>IF(B727=0,"",COUNTIFS('Extração'!O:O,"Parcialmente",'Extração'!J:J,A727)/B727)</f>
        <v/>
      </c>
      <c r="G727" s="12" t="str">
        <f>IF(B727=0,"",COUNTIFS('Extração'!N:N,"Não",'Extração'!J:J,A727)/B727)</f>
        <v/>
      </c>
      <c r="H727" s="12" t="str">
        <f>IF(B727=0,"",COUNTIFS('Extração'!O:O,"Não",'Extração'!J:J,A727)/B727)</f>
        <v/>
      </c>
      <c r="I727" s="12" t="str">
        <f>IF(B727=0,"",COUNTIFS('Extração'!P:P,"Igual",'Extração'!J:J,A727)/B727)</f>
        <v/>
      </c>
    </row>
    <row r="728">
      <c r="B728" s="12">
        <f>COUNTIF('Extração'!J:J,A728)</f>
        <v>0</v>
      </c>
      <c r="C728" s="12" t="str">
        <f>IF(B728=0,"",COUNTIFS('Extração'!N:N,"Sim",'Extração'!J:J,A728)/B728)</f>
        <v/>
      </c>
      <c r="D728" s="12" t="str">
        <f>IF(B728=0,"",COUNTIFS('Extração'!O:O,"Sim",'Extração'!J:J,A728)/B728)</f>
        <v/>
      </c>
      <c r="E728" s="12" t="str">
        <f>IF(B728=0,"",COUNTIFS('Extração'!N:N,"Parcialmente",'Extração'!J:J,A728)/B728)</f>
        <v/>
      </c>
      <c r="F728" s="12" t="str">
        <f>IF(B728=0,"",COUNTIFS('Extração'!O:O,"Parcialmente",'Extração'!J:J,A728)/B728)</f>
        <v/>
      </c>
      <c r="G728" s="12" t="str">
        <f>IF(B728=0,"",COUNTIFS('Extração'!N:N,"Não",'Extração'!J:J,A728)/B728)</f>
        <v/>
      </c>
      <c r="H728" s="12" t="str">
        <f>IF(B728=0,"",COUNTIFS('Extração'!O:O,"Não",'Extração'!J:J,A728)/B728)</f>
        <v/>
      </c>
      <c r="I728" s="12" t="str">
        <f>IF(B728=0,"",COUNTIFS('Extração'!P:P,"Igual",'Extração'!J:J,A728)/B728)</f>
        <v/>
      </c>
    </row>
    <row r="729">
      <c r="B729" s="12">
        <f>COUNTIF('Extração'!J:J,A729)</f>
        <v>0</v>
      </c>
      <c r="C729" s="12" t="str">
        <f>IF(B729=0,"",COUNTIFS('Extração'!N:N,"Sim",'Extração'!J:J,A729)/B729)</f>
        <v/>
      </c>
      <c r="D729" s="12" t="str">
        <f>IF(B729=0,"",COUNTIFS('Extração'!O:O,"Sim",'Extração'!J:J,A729)/B729)</f>
        <v/>
      </c>
      <c r="E729" s="12" t="str">
        <f>IF(B729=0,"",COUNTIFS('Extração'!N:N,"Parcialmente",'Extração'!J:J,A729)/B729)</f>
        <v/>
      </c>
      <c r="F729" s="12" t="str">
        <f>IF(B729=0,"",COUNTIFS('Extração'!O:O,"Parcialmente",'Extração'!J:J,A729)/B729)</f>
        <v/>
      </c>
      <c r="G729" s="12" t="str">
        <f>IF(B729=0,"",COUNTIFS('Extração'!N:N,"Não",'Extração'!J:J,A729)/B729)</f>
        <v/>
      </c>
      <c r="H729" s="12" t="str">
        <f>IF(B729=0,"",COUNTIFS('Extração'!O:O,"Não",'Extração'!J:J,A729)/B729)</f>
        <v/>
      </c>
      <c r="I729" s="12" t="str">
        <f>IF(B729=0,"",COUNTIFS('Extração'!P:P,"Igual",'Extração'!J:J,A729)/B729)</f>
        <v/>
      </c>
    </row>
    <row r="730">
      <c r="B730" s="12">
        <f>COUNTIF('Extração'!J:J,A730)</f>
        <v>0</v>
      </c>
      <c r="C730" s="12" t="str">
        <f>IF(B730=0,"",COUNTIFS('Extração'!N:N,"Sim",'Extração'!J:J,A730)/B730)</f>
        <v/>
      </c>
      <c r="D730" s="12" t="str">
        <f>IF(B730=0,"",COUNTIFS('Extração'!O:O,"Sim",'Extração'!J:J,A730)/B730)</f>
        <v/>
      </c>
      <c r="E730" s="12" t="str">
        <f>IF(B730=0,"",COUNTIFS('Extração'!N:N,"Parcialmente",'Extração'!J:J,A730)/B730)</f>
        <v/>
      </c>
      <c r="F730" s="12" t="str">
        <f>IF(B730=0,"",COUNTIFS('Extração'!O:O,"Parcialmente",'Extração'!J:J,A730)/B730)</f>
        <v/>
      </c>
      <c r="G730" s="12" t="str">
        <f>IF(B730=0,"",COUNTIFS('Extração'!N:N,"Não",'Extração'!J:J,A730)/B730)</f>
        <v/>
      </c>
      <c r="H730" s="12" t="str">
        <f>IF(B730=0,"",COUNTIFS('Extração'!O:O,"Não",'Extração'!J:J,A730)/B730)</f>
        <v/>
      </c>
      <c r="I730" s="12" t="str">
        <f>IF(B730=0,"",COUNTIFS('Extração'!P:P,"Igual",'Extração'!J:J,A730)/B730)</f>
        <v/>
      </c>
    </row>
    <row r="731">
      <c r="B731" s="12">
        <f>COUNTIF('Extração'!J:J,A731)</f>
        <v>0</v>
      </c>
      <c r="C731" s="12" t="str">
        <f>IF(B731=0,"",COUNTIFS('Extração'!N:N,"Sim",'Extração'!J:J,A731)/B731)</f>
        <v/>
      </c>
      <c r="D731" s="12" t="str">
        <f>IF(B731=0,"",COUNTIFS('Extração'!O:O,"Sim",'Extração'!J:J,A731)/B731)</f>
        <v/>
      </c>
      <c r="E731" s="12" t="str">
        <f>IF(B731=0,"",COUNTIFS('Extração'!N:N,"Parcialmente",'Extração'!J:J,A731)/B731)</f>
        <v/>
      </c>
      <c r="F731" s="12" t="str">
        <f>IF(B731=0,"",COUNTIFS('Extração'!O:O,"Parcialmente",'Extração'!J:J,A731)/B731)</f>
        <v/>
      </c>
      <c r="G731" s="12" t="str">
        <f>IF(B731=0,"",COUNTIFS('Extração'!N:N,"Não",'Extração'!J:J,A731)/B731)</f>
        <v/>
      </c>
      <c r="H731" s="12" t="str">
        <f>IF(B731=0,"",COUNTIFS('Extração'!O:O,"Não",'Extração'!J:J,A731)/B731)</f>
        <v/>
      </c>
      <c r="I731" s="12" t="str">
        <f>IF(B731=0,"",COUNTIFS('Extração'!P:P,"Igual",'Extração'!J:J,A731)/B731)</f>
        <v/>
      </c>
    </row>
    <row r="732">
      <c r="B732" s="12">
        <f>COUNTIF('Extração'!J:J,A732)</f>
        <v>0</v>
      </c>
      <c r="C732" s="12" t="str">
        <f>IF(B732=0,"",COUNTIFS('Extração'!N:N,"Sim",'Extração'!J:J,A732)/B732)</f>
        <v/>
      </c>
      <c r="D732" s="12" t="str">
        <f>IF(B732=0,"",COUNTIFS('Extração'!O:O,"Sim",'Extração'!J:J,A732)/B732)</f>
        <v/>
      </c>
      <c r="E732" s="12" t="str">
        <f>IF(B732=0,"",COUNTIFS('Extração'!N:N,"Parcialmente",'Extração'!J:J,A732)/B732)</f>
        <v/>
      </c>
      <c r="F732" s="12" t="str">
        <f>IF(B732=0,"",COUNTIFS('Extração'!O:O,"Parcialmente",'Extração'!J:J,A732)/B732)</f>
        <v/>
      </c>
      <c r="G732" s="12" t="str">
        <f>IF(B732=0,"",COUNTIFS('Extração'!N:N,"Não",'Extração'!J:J,A732)/B732)</f>
        <v/>
      </c>
      <c r="H732" s="12" t="str">
        <f>IF(B732=0,"",COUNTIFS('Extração'!O:O,"Não",'Extração'!J:J,A732)/B732)</f>
        <v/>
      </c>
      <c r="I732" s="12" t="str">
        <f>IF(B732=0,"",COUNTIFS('Extração'!P:P,"Igual",'Extração'!J:J,A732)/B732)</f>
        <v/>
      </c>
    </row>
    <row r="733">
      <c r="B733" s="12">
        <f>COUNTIF('Extração'!J:J,A733)</f>
        <v>0</v>
      </c>
      <c r="C733" s="12" t="str">
        <f>IF(B733=0,"",COUNTIFS('Extração'!N:N,"Sim",'Extração'!J:J,A733)/B733)</f>
        <v/>
      </c>
      <c r="D733" s="12" t="str">
        <f>IF(B733=0,"",COUNTIFS('Extração'!O:O,"Sim",'Extração'!J:J,A733)/B733)</f>
        <v/>
      </c>
      <c r="E733" s="12" t="str">
        <f>IF(B733=0,"",COUNTIFS('Extração'!N:N,"Parcialmente",'Extração'!J:J,A733)/B733)</f>
        <v/>
      </c>
      <c r="F733" s="12" t="str">
        <f>IF(B733=0,"",COUNTIFS('Extração'!O:O,"Parcialmente",'Extração'!J:J,A733)/B733)</f>
        <v/>
      </c>
      <c r="G733" s="12" t="str">
        <f>IF(B733=0,"",COUNTIFS('Extração'!N:N,"Não",'Extração'!J:J,A733)/B733)</f>
        <v/>
      </c>
      <c r="H733" s="12" t="str">
        <f>IF(B733=0,"",COUNTIFS('Extração'!O:O,"Não",'Extração'!J:J,A733)/B733)</f>
        <v/>
      </c>
      <c r="I733" s="12" t="str">
        <f>IF(B733=0,"",COUNTIFS('Extração'!P:P,"Igual",'Extração'!J:J,A733)/B733)</f>
        <v/>
      </c>
    </row>
    <row r="734">
      <c r="B734" s="12">
        <f>COUNTIF('Extração'!J:J,A734)</f>
        <v>0</v>
      </c>
      <c r="C734" s="12" t="str">
        <f>IF(B734=0,"",COUNTIFS('Extração'!N:N,"Sim",'Extração'!J:J,A734)/B734)</f>
        <v/>
      </c>
      <c r="D734" s="12" t="str">
        <f>IF(B734=0,"",COUNTIFS('Extração'!O:O,"Sim",'Extração'!J:J,A734)/B734)</f>
        <v/>
      </c>
      <c r="E734" s="12" t="str">
        <f>IF(B734=0,"",COUNTIFS('Extração'!N:N,"Parcialmente",'Extração'!J:J,A734)/B734)</f>
        <v/>
      </c>
      <c r="F734" s="12" t="str">
        <f>IF(B734=0,"",COUNTIFS('Extração'!O:O,"Parcialmente",'Extração'!J:J,A734)/B734)</f>
        <v/>
      </c>
      <c r="G734" s="12" t="str">
        <f>IF(B734=0,"",COUNTIFS('Extração'!N:N,"Não",'Extração'!J:J,A734)/B734)</f>
        <v/>
      </c>
      <c r="H734" s="12" t="str">
        <f>IF(B734=0,"",COUNTIFS('Extração'!O:O,"Não",'Extração'!J:J,A734)/B734)</f>
        <v/>
      </c>
      <c r="I734" s="12" t="str">
        <f>IF(B734=0,"",COUNTIFS('Extração'!P:P,"Igual",'Extração'!J:J,A734)/B734)</f>
        <v/>
      </c>
    </row>
    <row r="735">
      <c r="B735" s="12">
        <f>COUNTIF('Extração'!J:J,A735)</f>
        <v>0</v>
      </c>
      <c r="C735" s="12" t="str">
        <f>IF(B735=0,"",COUNTIFS('Extração'!N:N,"Sim",'Extração'!J:J,A735)/B735)</f>
        <v/>
      </c>
      <c r="D735" s="12" t="str">
        <f>IF(B735=0,"",COUNTIFS('Extração'!O:O,"Sim",'Extração'!J:J,A735)/B735)</f>
        <v/>
      </c>
      <c r="E735" s="12" t="str">
        <f>IF(B735=0,"",COUNTIFS('Extração'!N:N,"Parcialmente",'Extração'!J:J,A735)/B735)</f>
        <v/>
      </c>
      <c r="F735" s="12" t="str">
        <f>IF(B735=0,"",COUNTIFS('Extração'!O:O,"Parcialmente",'Extração'!J:J,A735)/B735)</f>
        <v/>
      </c>
      <c r="G735" s="12" t="str">
        <f>IF(B735=0,"",COUNTIFS('Extração'!N:N,"Não",'Extração'!J:J,A735)/B735)</f>
        <v/>
      </c>
      <c r="H735" s="12" t="str">
        <f>IF(B735=0,"",COUNTIFS('Extração'!O:O,"Não",'Extração'!J:J,A735)/B735)</f>
        <v/>
      </c>
      <c r="I735" s="12" t="str">
        <f>IF(B735=0,"",COUNTIFS('Extração'!P:P,"Igual",'Extração'!J:J,A735)/B735)</f>
        <v/>
      </c>
    </row>
    <row r="736">
      <c r="B736" s="12">
        <f>COUNTIF('Extração'!J:J,A736)</f>
        <v>0</v>
      </c>
      <c r="C736" s="12" t="str">
        <f>IF(B736=0,"",COUNTIFS('Extração'!N:N,"Sim",'Extração'!J:J,A736)/B736)</f>
        <v/>
      </c>
      <c r="D736" s="12" t="str">
        <f>IF(B736=0,"",COUNTIFS('Extração'!O:O,"Sim",'Extração'!J:J,A736)/B736)</f>
        <v/>
      </c>
      <c r="E736" s="12" t="str">
        <f>IF(B736=0,"",COUNTIFS('Extração'!N:N,"Parcialmente",'Extração'!J:J,A736)/B736)</f>
        <v/>
      </c>
      <c r="F736" s="12" t="str">
        <f>IF(B736=0,"",COUNTIFS('Extração'!O:O,"Parcialmente",'Extração'!J:J,A736)/B736)</f>
        <v/>
      </c>
      <c r="G736" s="12" t="str">
        <f>IF(B736=0,"",COUNTIFS('Extração'!N:N,"Não",'Extração'!J:J,A736)/B736)</f>
        <v/>
      </c>
      <c r="H736" s="12" t="str">
        <f>IF(B736=0,"",COUNTIFS('Extração'!O:O,"Não",'Extração'!J:J,A736)/B736)</f>
        <v/>
      </c>
      <c r="I736" s="12" t="str">
        <f>IF(B736=0,"",COUNTIFS('Extração'!P:P,"Igual",'Extração'!J:J,A736)/B736)</f>
        <v/>
      </c>
    </row>
    <row r="737">
      <c r="B737" s="12">
        <f>COUNTIF('Extração'!J:J,A737)</f>
        <v>0</v>
      </c>
      <c r="C737" s="12" t="str">
        <f>IF(B737=0,"",COUNTIFS('Extração'!N:N,"Sim",'Extração'!J:J,A737)/B737)</f>
        <v/>
      </c>
      <c r="D737" s="12" t="str">
        <f>IF(B737=0,"",COUNTIFS('Extração'!O:O,"Sim",'Extração'!J:J,A737)/B737)</f>
        <v/>
      </c>
      <c r="E737" s="12" t="str">
        <f>IF(B737=0,"",COUNTIFS('Extração'!N:N,"Parcialmente",'Extração'!J:J,A737)/B737)</f>
        <v/>
      </c>
      <c r="F737" s="12" t="str">
        <f>IF(B737=0,"",COUNTIFS('Extração'!O:O,"Parcialmente",'Extração'!J:J,A737)/B737)</f>
        <v/>
      </c>
      <c r="G737" s="12" t="str">
        <f>IF(B737=0,"",COUNTIFS('Extração'!N:N,"Não",'Extração'!J:J,A737)/B737)</f>
        <v/>
      </c>
      <c r="H737" s="12" t="str">
        <f>IF(B737=0,"",COUNTIFS('Extração'!O:O,"Não",'Extração'!J:J,A737)/B737)</f>
        <v/>
      </c>
      <c r="I737" s="12" t="str">
        <f>IF(B737=0,"",COUNTIFS('Extração'!P:P,"Igual",'Extração'!J:J,A737)/B737)</f>
        <v/>
      </c>
    </row>
    <row r="738">
      <c r="B738" s="12">
        <f>COUNTIF('Extração'!J:J,A738)</f>
        <v>0</v>
      </c>
      <c r="C738" s="12" t="str">
        <f>IF(B738=0,"",COUNTIFS('Extração'!N:N,"Sim",'Extração'!J:J,A738)/B738)</f>
        <v/>
      </c>
      <c r="D738" s="12" t="str">
        <f>IF(B738=0,"",COUNTIFS('Extração'!O:O,"Sim",'Extração'!J:J,A738)/B738)</f>
        <v/>
      </c>
      <c r="E738" s="12" t="str">
        <f>IF(B738=0,"",COUNTIFS('Extração'!N:N,"Parcialmente",'Extração'!J:J,A738)/B738)</f>
        <v/>
      </c>
      <c r="F738" s="12" t="str">
        <f>IF(B738=0,"",COUNTIFS('Extração'!O:O,"Parcialmente",'Extração'!J:J,A738)/B738)</f>
        <v/>
      </c>
      <c r="G738" s="12" t="str">
        <f>IF(B738=0,"",COUNTIFS('Extração'!N:N,"Não",'Extração'!J:J,A738)/B738)</f>
        <v/>
      </c>
      <c r="H738" s="12" t="str">
        <f>IF(B738=0,"",COUNTIFS('Extração'!O:O,"Não",'Extração'!J:J,A738)/B738)</f>
        <v/>
      </c>
      <c r="I738" s="12" t="str">
        <f>IF(B738=0,"",COUNTIFS('Extração'!P:P,"Igual",'Extração'!J:J,A738)/B738)</f>
        <v/>
      </c>
    </row>
    <row r="739">
      <c r="B739" s="12">
        <f>COUNTIF('Extração'!J:J,A739)</f>
        <v>0</v>
      </c>
      <c r="C739" s="12" t="str">
        <f>IF(B739=0,"",COUNTIFS('Extração'!N:N,"Sim",'Extração'!J:J,A739)/B739)</f>
        <v/>
      </c>
      <c r="D739" s="12" t="str">
        <f>IF(B739=0,"",COUNTIFS('Extração'!O:O,"Sim",'Extração'!J:J,A739)/B739)</f>
        <v/>
      </c>
      <c r="E739" s="12" t="str">
        <f>IF(B739=0,"",COUNTIFS('Extração'!N:N,"Parcialmente",'Extração'!J:J,A739)/B739)</f>
        <v/>
      </c>
      <c r="F739" s="12" t="str">
        <f>IF(B739=0,"",COUNTIFS('Extração'!O:O,"Parcialmente",'Extração'!J:J,A739)/B739)</f>
        <v/>
      </c>
      <c r="G739" s="12" t="str">
        <f>IF(B739=0,"",COUNTIFS('Extração'!N:N,"Não",'Extração'!J:J,A739)/B739)</f>
        <v/>
      </c>
      <c r="H739" s="12" t="str">
        <f>IF(B739=0,"",COUNTIFS('Extração'!O:O,"Não",'Extração'!J:J,A739)/B739)</f>
        <v/>
      </c>
      <c r="I739" s="12" t="str">
        <f>IF(B739=0,"",COUNTIFS('Extração'!P:P,"Igual",'Extração'!J:J,A739)/B739)</f>
        <v/>
      </c>
    </row>
    <row r="740">
      <c r="B740" s="12">
        <f>COUNTIF('Extração'!J:J,A740)</f>
        <v>0</v>
      </c>
      <c r="C740" s="12" t="str">
        <f>IF(B740=0,"",COUNTIFS('Extração'!N:N,"Sim",'Extração'!J:J,A740)/B740)</f>
        <v/>
      </c>
      <c r="D740" s="12" t="str">
        <f>IF(B740=0,"",COUNTIFS('Extração'!O:O,"Sim",'Extração'!J:J,A740)/B740)</f>
        <v/>
      </c>
      <c r="E740" s="12" t="str">
        <f>IF(B740=0,"",COUNTIFS('Extração'!N:N,"Parcialmente",'Extração'!J:J,A740)/B740)</f>
        <v/>
      </c>
      <c r="F740" s="12" t="str">
        <f>IF(B740=0,"",COUNTIFS('Extração'!O:O,"Parcialmente",'Extração'!J:J,A740)/B740)</f>
        <v/>
      </c>
      <c r="G740" s="12" t="str">
        <f>IF(B740=0,"",COUNTIFS('Extração'!N:N,"Não",'Extração'!J:J,A740)/B740)</f>
        <v/>
      </c>
      <c r="H740" s="12" t="str">
        <f>IF(B740=0,"",COUNTIFS('Extração'!O:O,"Não",'Extração'!J:J,A740)/B740)</f>
        <v/>
      </c>
      <c r="I740" s="12" t="str">
        <f>IF(B740=0,"",COUNTIFS('Extração'!P:P,"Igual",'Extração'!J:J,A740)/B740)</f>
        <v/>
      </c>
    </row>
    <row r="741">
      <c r="B741" s="12">
        <f>COUNTIF('Extração'!J:J,A741)</f>
        <v>0</v>
      </c>
      <c r="C741" s="12" t="str">
        <f>IF(B741=0,"",COUNTIFS('Extração'!N:N,"Sim",'Extração'!J:J,A741)/B741)</f>
        <v/>
      </c>
      <c r="D741" s="12" t="str">
        <f>IF(B741=0,"",COUNTIFS('Extração'!O:O,"Sim",'Extração'!J:J,A741)/B741)</f>
        <v/>
      </c>
      <c r="E741" s="12" t="str">
        <f>IF(B741=0,"",COUNTIFS('Extração'!N:N,"Parcialmente",'Extração'!J:J,A741)/B741)</f>
        <v/>
      </c>
      <c r="F741" s="12" t="str">
        <f>IF(B741=0,"",COUNTIFS('Extração'!O:O,"Parcialmente",'Extração'!J:J,A741)/B741)</f>
        <v/>
      </c>
      <c r="G741" s="12" t="str">
        <f>IF(B741=0,"",COUNTIFS('Extração'!N:N,"Não",'Extração'!J:J,A741)/B741)</f>
        <v/>
      </c>
      <c r="H741" s="12" t="str">
        <f>IF(B741=0,"",COUNTIFS('Extração'!O:O,"Não",'Extração'!J:J,A741)/B741)</f>
        <v/>
      </c>
      <c r="I741" s="12" t="str">
        <f>IF(B741=0,"",COUNTIFS('Extração'!P:P,"Igual",'Extração'!J:J,A741)/B741)</f>
        <v/>
      </c>
    </row>
    <row r="742">
      <c r="B742" s="12">
        <f>COUNTIF('Extração'!J:J,A742)</f>
        <v>0</v>
      </c>
      <c r="C742" s="12" t="str">
        <f>IF(B742=0,"",COUNTIFS('Extração'!N:N,"Sim",'Extração'!J:J,A742)/B742)</f>
        <v/>
      </c>
      <c r="D742" s="12" t="str">
        <f>IF(B742=0,"",COUNTIFS('Extração'!O:O,"Sim",'Extração'!J:J,A742)/B742)</f>
        <v/>
      </c>
      <c r="E742" s="12" t="str">
        <f>IF(B742=0,"",COUNTIFS('Extração'!N:N,"Parcialmente",'Extração'!J:J,A742)/B742)</f>
        <v/>
      </c>
      <c r="F742" s="12" t="str">
        <f>IF(B742=0,"",COUNTIFS('Extração'!O:O,"Parcialmente",'Extração'!J:J,A742)/B742)</f>
        <v/>
      </c>
      <c r="G742" s="12" t="str">
        <f>IF(B742=0,"",COUNTIFS('Extração'!N:N,"Não",'Extração'!J:J,A742)/B742)</f>
        <v/>
      </c>
      <c r="H742" s="12" t="str">
        <f>IF(B742=0,"",COUNTIFS('Extração'!O:O,"Não",'Extração'!J:J,A742)/B742)</f>
        <v/>
      </c>
      <c r="I742" s="12" t="str">
        <f>IF(B742=0,"",COUNTIFS('Extração'!P:P,"Igual",'Extração'!J:J,A742)/B742)</f>
        <v/>
      </c>
    </row>
    <row r="743">
      <c r="B743" s="12">
        <f>COUNTIF('Extração'!J:J,A743)</f>
        <v>0</v>
      </c>
      <c r="C743" s="12" t="str">
        <f>IF(B743=0,"",COUNTIFS('Extração'!N:N,"Sim",'Extração'!J:J,A743)/B743)</f>
        <v/>
      </c>
      <c r="D743" s="12" t="str">
        <f>IF(B743=0,"",COUNTIFS('Extração'!O:O,"Sim",'Extração'!J:J,A743)/B743)</f>
        <v/>
      </c>
      <c r="E743" s="12" t="str">
        <f>IF(B743=0,"",COUNTIFS('Extração'!N:N,"Parcialmente",'Extração'!J:J,A743)/B743)</f>
        <v/>
      </c>
      <c r="F743" s="12" t="str">
        <f>IF(B743=0,"",COUNTIFS('Extração'!O:O,"Parcialmente",'Extração'!J:J,A743)/B743)</f>
        <v/>
      </c>
      <c r="G743" s="12" t="str">
        <f>IF(B743=0,"",COUNTIFS('Extração'!N:N,"Não",'Extração'!J:J,A743)/B743)</f>
        <v/>
      </c>
      <c r="H743" s="12" t="str">
        <f>IF(B743=0,"",COUNTIFS('Extração'!O:O,"Não",'Extração'!J:J,A743)/B743)</f>
        <v/>
      </c>
      <c r="I743" s="12" t="str">
        <f>IF(B743=0,"",COUNTIFS('Extração'!P:P,"Igual",'Extração'!J:J,A743)/B743)</f>
        <v/>
      </c>
    </row>
    <row r="744">
      <c r="B744" s="12">
        <f>COUNTIF('Extração'!J:J,A744)</f>
        <v>0</v>
      </c>
      <c r="C744" s="12" t="str">
        <f>IF(B744=0,"",COUNTIFS('Extração'!N:N,"Sim",'Extração'!J:J,A744)/B744)</f>
        <v/>
      </c>
      <c r="D744" s="12" t="str">
        <f>IF(B744=0,"",COUNTIFS('Extração'!O:O,"Sim",'Extração'!J:J,A744)/B744)</f>
        <v/>
      </c>
      <c r="E744" s="12" t="str">
        <f>IF(B744=0,"",COUNTIFS('Extração'!N:N,"Parcialmente",'Extração'!J:J,A744)/B744)</f>
        <v/>
      </c>
      <c r="F744" s="12" t="str">
        <f>IF(B744=0,"",COUNTIFS('Extração'!O:O,"Parcialmente",'Extração'!J:J,A744)/B744)</f>
        <v/>
      </c>
      <c r="G744" s="12" t="str">
        <f>IF(B744=0,"",COUNTIFS('Extração'!N:N,"Não",'Extração'!J:J,A744)/B744)</f>
        <v/>
      </c>
      <c r="H744" s="12" t="str">
        <f>IF(B744=0,"",COUNTIFS('Extração'!O:O,"Não",'Extração'!J:J,A744)/B744)</f>
        <v/>
      </c>
      <c r="I744" s="12" t="str">
        <f>IF(B744=0,"",COUNTIFS('Extração'!P:P,"Igual",'Extração'!J:J,A744)/B744)</f>
        <v/>
      </c>
    </row>
    <row r="745">
      <c r="B745" s="12">
        <f>COUNTIF('Extração'!J:J,A745)</f>
        <v>0</v>
      </c>
      <c r="C745" s="12" t="str">
        <f>IF(B745=0,"",COUNTIFS('Extração'!N:N,"Sim",'Extração'!J:J,A745)/B745)</f>
        <v/>
      </c>
      <c r="D745" s="12" t="str">
        <f>IF(B745=0,"",COUNTIFS('Extração'!O:O,"Sim",'Extração'!J:J,A745)/B745)</f>
        <v/>
      </c>
      <c r="E745" s="12" t="str">
        <f>IF(B745=0,"",COUNTIFS('Extração'!N:N,"Parcialmente",'Extração'!J:J,A745)/B745)</f>
        <v/>
      </c>
      <c r="F745" s="12" t="str">
        <f>IF(B745=0,"",COUNTIFS('Extração'!O:O,"Parcialmente",'Extração'!J:J,A745)/B745)</f>
        <v/>
      </c>
      <c r="G745" s="12" t="str">
        <f>IF(B745=0,"",COUNTIFS('Extração'!N:N,"Não",'Extração'!J:J,A745)/B745)</f>
        <v/>
      </c>
      <c r="H745" s="12" t="str">
        <f>IF(B745=0,"",COUNTIFS('Extração'!O:O,"Não",'Extração'!J:J,A745)/B745)</f>
        <v/>
      </c>
      <c r="I745" s="12" t="str">
        <f>IF(B745=0,"",COUNTIFS('Extração'!P:P,"Igual",'Extração'!J:J,A745)/B745)</f>
        <v/>
      </c>
    </row>
    <row r="746">
      <c r="B746" s="12">
        <f>COUNTIF('Extração'!J:J,A746)</f>
        <v>0</v>
      </c>
      <c r="C746" s="12" t="str">
        <f>IF(B746=0,"",COUNTIFS('Extração'!N:N,"Sim",'Extração'!J:J,A746)/B746)</f>
        <v/>
      </c>
      <c r="D746" s="12" t="str">
        <f>IF(B746=0,"",COUNTIFS('Extração'!O:O,"Sim",'Extração'!J:J,A746)/B746)</f>
        <v/>
      </c>
      <c r="E746" s="12" t="str">
        <f>IF(B746=0,"",COUNTIFS('Extração'!N:N,"Parcialmente",'Extração'!J:J,A746)/B746)</f>
        <v/>
      </c>
      <c r="F746" s="12" t="str">
        <f>IF(B746=0,"",COUNTIFS('Extração'!O:O,"Parcialmente",'Extração'!J:J,A746)/B746)</f>
        <v/>
      </c>
      <c r="G746" s="12" t="str">
        <f>IF(B746=0,"",COUNTIFS('Extração'!N:N,"Não",'Extração'!J:J,A746)/B746)</f>
        <v/>
      </c>
      <c r="H746" s="12" t="str">
        <f>IF(B746=0,"",COUNTIFS('Extração'!O:O,"Não",'Extração'!J:J,A746)/B746)</f>
        <v/>
      </c>
      <c r="I746" s="12" t="str">
        <f>IF(B746=0,"",COUNTIFS('Extração'!P:P,"Igual",'Extração'!J:J,A746)/B746)</f>
        <v/>
      </c>
    </row>
    <row r="747">
      <c r="B747" s="12">
        <f>COUNTIF('Extração'!J:J,A747)</f>
        <v>0</v>
      </c>
      <c r="C747" s="12" t="str">
        <f>IF(B747=0,"",COUNTIFS('Extração'!N:N,"Sim",'Extração'!J:J,A747)/B747)</f>
        <v/>
      </c>
      <c r="D747" s="12" t="str">
        <f>IF(B747=0,"",COUNTIFS('Extração'!O:O,"Sim",'Extração'!J:J,A747)/B747)</f>
        <v/>
      </c>
      <c r="E747" s="12" t="str">
        <f>IF(B747=0,"",COUNTIFS('Extração'!N:N,"Parcialmente",'Extração'!J:J,A747)/B747)</f>
        <v/>
      </c>
      <c r="F747" s="12" t="str">
        <f>IF(B747=0,"",COUNTIFS('Extração'!O:O,"Parcialmente",'Extração'!J:J,A747)/B747)</f>
        <v/>
      </c>
      <c r="G747" s="12" t="str">
        <f>IF(B747=0,"",COUNTIFS('Extração'!N:N,"Não",'Extração'!J:J,A747)/B747)</f>
        <v/>
      </c>
      <c r="H747" s="12" t="str">
        <f>IF(B747=0,"",COUNTIFS('Extração'!O:O,"Não",'Extração'!J:J,A747)/B747)</f>
        <v/>
      </c>
      <c r="I747" s="12" t="str">
        <f>IF(B747=0,"",COUNTIFS('Extração'!P:P,"Igual",'Extração'!J:J,A747)/B747)</f>
        <v/>
      </c>
    </row>
    <row r="748">
      <c r="B748" s="12">
        <f>COUNTIF('Extração'!J:J,A748)</f>
        <v>0</v>
      </c>
      <c r="C748" s="12" t="str">
        <f>IF(B748=0,"",COUNTIFS('Extração'!N:N,"Sim",'Extração'!J:J,A748)/B748)</f>
        <v/>
      </c>
      <c r="D748" s="12" t="str">
        <f>IF(B748=0,"",COUNTIFS('Extração'!O:O,"Sim",'Extração'!J:J,A748)/B748)</f>
        <v/>
      </c>
      <c r="E748" s="12" t="str">
        <f>IF(B748=0,"",COUNTIFS('Extração'!N:N,"Parcialmente",'Extração'!J:J,A748)/B748)</f>
        <v/>
      </c>
      <c r="F748" s="12" t="str">
        <f>IF(B748=0,"",COUNTIFS('Extração'!O:O,"Parcialmente",'Extração'!J:J,A748)/B748)</f>
        <v/>
      </c>
      <c r="G748" s="12" t="str">
        <f>IF(B748=0,"",COUNTIFS('Extração'!N:N,"Não",'Extração'!J:J,A748)/B748)</f>
        <v/>
      </c>
      <c r="H748" s="12" t="str">
        <f>IF(B748=0,"",COUNTIFS('Extração'!O:O,"Não",'Extração'!J:J,A748)/B748)</f>
        <v/>
      </c>
      <c r="I748" s="12" t="str">
        <f>IF(B748=0,"",COUNTIFS('Extração'!P:P,"Igual",'Extração'!J:J,A748)/B748)</f>
        <v/>
      </c>
    </row>
    <row r="749">
      <c r="B749" s="12">
        <f>COUNTIF('Extração'!J:J,A749)</f>
        <v>0</v>
      </c>
      <c r="C749" s="12" t="str">
        <f>IF(B749=0,"",COUNTIFS('Extração'!N:N,"Sim",'Extração'!J:J,A749)/B749)</f>
        <v/>
      </c>
      <c r="D749" s="12" t="str">
        <f>IF(B749=0,"",COUNTIFS('Extração'!O:O,"Sim",'Extração'!J:J,A749)/B749)</f>
        <v/>
      </c>
      <c r="E749" s="12" t="str">
        <f>IF(B749=0,"",COUNTIFS('Extração'!N:N,"Parcialmente",'Extração'!J:J,A749)/B749)</f>
        <v/>
      </c>
      <c r="F749" s="12" t="str">
        <f>IF(B749=0,"",COUNTIFS('Extração'!O:O,"Parcialmente",'Extração'!J:J,A749)/B749)</f>
        <v/>
      </c>
      <c r="G749" s="12" t="str">
        <f>IF(B749=0,"",COUNTIFS('Extração'!N:N,"Não",'Extração'!J:J,A749)/B749)</f>
        <v/>
      </c>
      <c r="H749" s="12" t="str">
        <f>IF(B749=0,"",COUNTIFS('Extração'!O:O,"Não",'Extração'!J:J,A749)/B749)</f>
        <v/>
      </c>
      <c r="I749" s="12" t="str">
        <f>IF(B749=0,"",COUNTIFS('Extração'!P:P,"Igual",'Extração'!J:J,A749)/B749)</f>
        <v/>
      </c>
    </row>
    <row r="750">
      <c r="B750" s="12">
        <f>COUNTIF('Extração'!J:J,A750)</f>
        <v>0</v>
      </c>
      <c r="C750" s="12" t="str">
        <f>IF(B750=0,"",COUNTIFS('Extração'!N:N,"Sim",'Extração'!J:J,A750)/B750)</f>
        <v/>
      </c>
      <c r="D750" s="12" t="str">
        <f>IF(B750=0,"",COUNTIFS('Extração'!O:O,"Sim",'Extração'!J:J,A750)/B750)</f>
        <v/>
      </c>
      <c r="E750" s="12" t="str">
        <f>IF(B750=0,"",COUNTIFS('Extração'!N:N,"Parcialmente",'Extração'!J:J,A750)/B750)</f>
        <v/>
      </c>
      <c r="F750" s="12" t="str">
        <f>IF(B750=0,"",COUNTIFS('Extração'!O:O,"Parcialmente",'Extração'!J:J,A750)/B750)</f>
        <v/>
      </c>
      <c r="G750" s="12" t="str">
        <f>IF(B750=0,"",COUNTIFS('Extração'!N:N,"Não",'Extração'!J:J,A750)/B750)</f>
        <v/>
      </c>
      <c r="H750" s="12" t="str">
        <f>IF(B750=0,"",COUNTIFS('Extração'!O:O,"Não",'Extração'!J:J,A750)/B750)</f>
        <v/>
      </c>
      <c r="I750" s="12" t="str">
        <f>IF(B750=0,"",COUNTIFS('Extração'!P:P,"Igual",'Extração'!J:J,A750)/B750)</f>
        <v/>
      </c>
    </row>
    <row r="751">
      <c r="B751" s="12">
        <f>COUNTIF('Extração'!J:J,A751)</f>
        <v>0</v>
      </c>
      <c r="C751" s="12" t="str">
        <f>IF(B751=0,"",COUNTIFS('Extração'!N:N,"Sim",'Extração'!J:J,A751)/B751)</f>
        <v/>
      </c>
      <c r="D751" s="12" t="str">
        <f>IF(B751=0,"",COUNTIFS('Extração'!O:O,"Sim",'Extração'!J:J,A751)/B751)</f>
        <v/>
      </c>
      <c r="E751" s="12" t="str">
        <f>IF(B751=0,"",COUNTIFS('Extração'!N:N,"Parcialmente",'Extração'!J:J,A751)/B751)</f>
        <v/>
      </c>
      <c r="F751" s="12" t="str">
        <f>IF(B751=0,"",COUNTIFS('Extração'!O:O,"Parcialmente",'Extração'!J:J,A751)/B751)</f>
        <v/>
      </c>
      <c r="G751" s="12" t="str">
        <f>IF(B751=0,"",COUNTIFS('Extração'!N:N,"Não",'Extração'!J:J,A751)/B751)</f>
        <v/>
      </c>
      <c r="H751" s="12" t="str">
        <f>IF(B751=0,"",COUNTIFS('Extração'!O:O,"Não",'Extração'!J:J,A751)/B751)</f>
        <v/>
      </c>
      <c r="I751" s="12" t="str">
        <f>IF(B751=0,"",COUNTIFS('Extração'!P:P,"Igual",'Extração'!J:J,A751)/B751)</f>
        <v/>
      </c>
    </row>
    <row r="752">
      <c r="B752" s="12">
        <f>COUNTIF('Extração'!J:J,A752)</f>
        <v>0</v>
      </c>
      <c r="C752" s="12" t="str">
        <f>IF(B752=0,"",COUNTIFS('Extração'!N:N,"Sim",'Extração'!J:J,A752)/B752)</f>
        <v/>
      </c>
      <c r="D752" s="12" t="str">
        <f>IF(B752=0,"",COUNTIFS('Extração'!O:O,"Sim",'Extração'!J:J,A752)/B752)</f>
        <v/>
      </c>
      <c r="E752" s="12" t="str">
        <f>IF(B752=0,"",COUNTIFS('Extração'!N:N,"Parcialmente",'Extração'!J:J,A752)/B752)</f>
        <v/>
      </c>
      <c r="F752" s="12" t="str">
        <f>IF(B752=0,"",COUNTIFS('Extração'!O:O,"Parcialmente",'Extração'!J:J,A752)/B752)</f>
        <v/>
      </c>
      <c r="G752" s="12" t="str">
        <f>IF(B752=0,"",COUNTIFS('Extração'!N:N,"Não",'Extração'!J:J,A752)/B752)</f>
        <v/>
      </c>
      <c r="H752" s="12" t="str">
        <f>IF(B752=0,"",COUNTIFS('Extração'!O:O,"Não",'Extração'!J:J,A752)/B752)</f>
        <v/>
      </c>
      <c r="I752" s="12" t="str">
        <f>IF(B752=0,"",COUNTIFS('Extração'!P:P,"Igual",'Extração'!J:J,A752)/B752)</f>
        <v/>
      </c>
    </row>
    <row r="753">
      <c r="B753" s="12">
        <f>COUNTIF('Extração'!J:J,A753)</f>
        <v>0</v>
      </c>
      <c r="C753" s="12" t="str">
        <f>IF(B753=0,"",COUNTIFS('Extração'!N:N,"Sim",'Extração'!J:J,A753)/B753)</f>
        <v/>
      </c>
      <c r="D753" s="12" t="str">
        <f>IF(B753=0,"",COUNTIFS('Extração'!O:O,"Sim",'Extração'!J:J,A753)/B753)</f>
        <v/>
      </c>
      <c r="E753" s="12" t="str">
        <f>IF(B753=0,"",COUNTIFS('Extração'!N:N,"Parcialmente",'Extração'!J:J,A753)/B753)</f>
        <v/>
      </c>
      <c r="F753" s="12" t="str">
        <f>IF(B753=0,"",COUNTIFS('Extração'!O:O,"Parcialmente",'Extração'!J:J,A753)/B753)</f>
        <v/>
      </c>
      <c r="G753" s="12" t="str">
        <f>IF(B753=0,"",COUNTIFS('Extração'!N:N,"Não",'Extração'!J:J,A753)/B753)</f>
        <v/>
      </c>
      <c r="H753" s="12" t="str">
        <f>IF(B753=0,"",COUNTIFS('Extração'!O:O,"Não",'Extração'!J:J,A753)/B753)</f>
        <v/>
      </c>
      <c r="I753" s="12" t="str">
        <f>IF(B753=0,"",COUNTIFS('Extração'!P:P,"Igual",'Extração'!J:J,A753)/B753)</f>
        <v/>
      </c>
    </row>
    <row r="754">
      <c r="B754" s="12">
        <f>COUNTIF('Extração'!J:J,A754)</f>
        <v>0</v>
      </c>
      <c r="C754" s="12" t="str">
        <f>IF(B754=0,"",COUNTIFS('Extração'!N:N,"Sim",'Extração'!J:J,A754)/B754)</f>
        <v/>
      </c>
      <c r="D754" s="12" t="str">
        <f>IF(B754=0,"",COUNTIFS('Extração'!O:O,"Sim",'Extração'!J:J,A754)/B754)</f>
        <v/>
      </c>
      <c r="E754" s="12" t="str">
        <f>IF(B754=0,"",COUNTIFS('Extração'!N:N,"Parcialmente",'Extração'!J:J,A754)/B754)</f>
        <v/>
      </c>
      <c r="F754" s="12" t="str">
        <f>IF(B754=0,"",COUNTIFS('Extração'!O:O,"Parcialmente",'Extração'!J:J,A754)/B754)</f>
        <v/>
      </c>
      <c r="G754" s="12" t="str">
        <f>IF(B754=0,"",COUNTIFS('Extração'!N:N,"Não",'Extração'!J:J,A754)/B754)</f>
        <v/>
      </c>
      <c r="H754" s="12" t="str">
        <f>IF(B754=0,"",COUNTIFS('Extração'!O:O,"Não",'Extração'!J:J,A754)/B754)</f>
        <v/>
      </c>
      <c r="I754" s="12" t="str">
        <f>IF(B754=0,"",COUNTIFS('Extração'!P:P,"Igual",'Extração'!J:J,A754)/B754)</f>
        <v/>
      </c>
    </row>
    <row r="755">
      <c r="B755" s="12">
        <f>COUNTIF('Extração'!J:J,A755)</f>
        <v>0</v>
      </c>
      <c r="C755" s="12" t="str">
        <f>IF(B755=0,"",COUNTIFS('Extração'!N:N,"Sim",'Extração'!J:J,A755)/B755)</f>
        <v/>
      </c>
      <c r="D755" s="12" t="str">
        <f>IF(B755=0,"",COUNTIFS('Extração'!O:O,"Sim",'Extração'!J:J,A755)/B755)</f>
        <v/>
      </c>
      <c r="E755" s="12" t="str">
        <f>IF(B755=0,"",COUNTIFS('Extração'!N:N,"Parcialmente",'Extração'!J:J,A755)/B755)</f>
        <v/>
      </c>
      <c r="F755" s="12" t="str">
        <f>IF(B755=0,"",COUNTIFS('Extração'!O:O,"Parcialmente",'Extração'!J:J,A755)/B755)</f>
        <v/>
      </c>
      <c r="G755" s="12" t="str">
        <f>IF(B755=0,"",COUNTIFS('Extração'!N:N,"Não",'Extração'!J:J,A755)/B755)</f>
        <v/>
      </c>
      <c r="H755" s="12" t="str">
        <f>IF(B755=0,"",COUNTIFS('Extração'!O:O,"Não",'Extração'!J:J,A755)/B755)</f>
        <v/>
      </c>
      <c r="I755" s="12" t="str">
        <f>IF(B755=0,"",COUNTIFS('Extração'!P:P,"Igual",'Extração'!J:J,A755)/B755)</f>
        <v/>
      </c>
    </row>
    <row r="756">
      <c r="B756" s="12">
        <f>COUNTIF('Extração'!J:J,A756)</f>
        <v>0</v>
      </c>
      <c r="C756" s="12" t="str">
        <f>IF(B756=0,"",COUNTIFS('Extração'!N:N,"Sim",'Extração'!J:J,A756)/B756)</f>
        <v/>
      </c>
      <c r="D756" s="12" t="str">
        <f>IF(B756=0,"",COUNTIFS('Extração'!O:O,"Sim",'Extração'!J:J,A756)/B756)</f>
        <v/>
      </c>
      <c r="E756" s="12" t="str">
        <f>IF(B756=0,"",COUNTIFS('Extração'!N:N,"Parcialmente",'Extração'!J:J,A756)/B756)</f>
        <v/>
      </c>
      <c r="F756" s="12" t="str">
        <f>IF(B756=0,"",COUNTIFS('Extração'!O:O,"Parcialmente",'Extração'!J:J,A756)/B756)</f>
        <v/>
      </c>
      <c r="G756" s="12" t="str">
        <f>IF(B756=0,"",COUNTIFS('Extração'!N:N,"Não",'Extração'!J:J,A756)/B756)</f>
        <v/>
      </c>
      <c r="H756" s="12" t="str">
        <f>IF(B756=0,"",COUNTIFS('Extração'!O:O,"Não",'Extração'!J:J,A756)/B756)</f>
        <v/>
      </c>
      <c r="I756" s="12" t="str">
        <f>IF(B756=0,"",COUNTIFS('Extração'!P:P,"Igual",'Extração'!J:J,A756)/B756)</f>
        <v/>
      </c>
    </row>
    <row r="757">
      <c r="B757" s="12">
        <f>COUNTIF('Extração'!J:J,A757)</f>
        <v>0</v>
      </c>
      <c r="C757" s="12" t="str">
        <f>IF(B757=0,"",COUNTIFS('Extração'!N:N,"Sim",'Extração'!J:J,A757)/B757)</f>
        <v/>
      </c>
      <c r="D757" s="12" t="str">
        <f>IF(B757=0,"",COUNTIFS('Extração'!O:O,"Sim",'Extração'!J:J,A757)/B757)</f>
        <v/>
      </c>
      <c r="E757" s="12" t="str">
        <f>IF(B757=0,"",COUNTIFS('Extração'!N:N,"Parcialmente",'Extração'!J:J,A757)/B757)</f>
        <v/>
      </c>
      <c r="F757" s="12" t="str">
        <f>IF(B757=0,"",COUNTIFS('Extração'!O:O,"Parcialmente",'Extração'!J:J,A757)/B757)</f>
        <v/>
      </c>
      <c r="G757" s="12" t="str">
        <f>IF(B757=0,"",COUNTIFS('Extração'!N:N,"Não",'Extração'!J:J,A757)/B757)</f>
        <v/>
      </c>
      <c r="H757" s="12" t="str">
        <f>IF(B757=0,"",COUNTIFS('Extração'!O:O,"Não",'Extração'!J:J,A757)/B757)</f>
        <v/>
      </c>
      <c r="I757" s="12" t="str">
        <f>IF(B757=0,"",COUNTIFS('Extração'!P:P,"Igual",'Extração'!J:J,A757)/B757)</f>
        <v/>
      </c>
    </row>
    <row r="758">
      <c r="B758" s="12">
        <f>COUNTIF('Extração'!J:J,A758)</f>
        <v>0</v>
      </c>
      <c r="C758" s="12" t="str">
        <f>IF(B758=0,"",COUNTIFS('Extração'!N:N,"Sim",'Extração'!J:J,A758)/B758)</f>
        <v/>
      </c>
      <c r="D758" s="12" t="str">
        <f>IF(B758=0,"",COUNTIFS('Extração'!O:O,"Sim",'Extração'!J:J,A758)/B758)</f>
        <v/>
      </c>
      <c r="E758" s="12" t="str">
        <f>IF(B758=0,"",COUNTIFS('Extração'!N:N,"Parcialmente",'Extração'!J:J,A758)/B758)</f>
        <v/>
      </c>
      <c r="F758" s="12" t="str">
        <f>IF(B758=0,"",COUNTIFS('Extração'!O:O,"Parcialmente",'Extração'!J:J,A758)/B758)</f>
        <v/>
      </c>
      <c r="G758" s="12" t="str">
        <f>IF(B758=0,"",COUNTIFS('Extração'!N:N,"Não",'Extração'!J:J,A758)/B758)</f>
        <v/>
      </c>
      <c r="H758" s="12" t="str">
        <f>IF(B758=0,"",COUNTIFS('Extração'!O:O,"Não",'Extração'!J:J,A758)/B758)</f>
        <v/>
      </c>
      <c r="I758" s="12" t="str">
        <f>IF(B758=0,"",COUNTIFS('Extração'!P:P,"Igual",'Extração'!J:J,A758)/B758)</f>
        <v/>
      </c>
    </row>
    <row r="759">
      <c r="B759" s="12">
        <f>COUNTIF('Extração'!J:J,A759)</f>
        <v>0</v>
      </c>
      <c r="C759" s="12" t="str">
        <f>IF(B759=0,"",COUNTIFS('Extração'!N:N,"Sim",'Extração'!J:J,A759)/B759)</f>
        <v/>
      </c>
      <c r="D759" s="12" t="str">
        <f>IF(B759=0,"",COUNTIFS('Extração'!O:O,"Sim",'Extração'!J:J,A759)/B759)</f>
        <v/>
      </c>
      <c r="E759" s="12" t="str">
        <f>IF(B759=0,"",COUNTIFS('Extração'!N:N,"Parcialmente",'Extração'!J:J,A759)/B759)</f>
        <v/>
      </c>
      <c r="F759" s="12" t="str">
        <f>IF(B759=0,"",COUNTIFS('Extração'!O:O,"Parcialmente",'Extração'!J:J,A759)/B759)</f>
        <v/>
      </c>
      <c r="G759" s="12" t="str">
        <f>IF(B759=0,"",COUNTIFS('Extração'!N:N,"Não",'Extração'!J:J,A759)/B759)</f>
        <v/>
      </c>
      <c r="H759" s="12" t="str">
        <f>IF(B759=0,"",COUNTIFS('Extração'!O:O,"Não",'Extração'!J:J,A759)/B759)</f>
        <v/>
      </c>
      <c r="I759" s="12" t="str">
        <f>IF(B759=0,"",COUNTIFS('Extração'!P:P,"Igual",'Extração'!J:J,A759)/B759)</f>
        <v/>
      </c>
    </row>
    <row r="760">
      <c r="B760" s="12">
        <f>COUNTIF('Extração'!J:J,A760)</f>
        <v>0</v>
      </c>
      <c r="C760" s="12" t="str">
        <f>IF(B760=0,"",COUNTIFS('Extração'!N:N,"Sim",'Extração'!J:J,A760)/B760)</f>
        <v/>
      </c>
      <c r="D760" s="12" t="str">
        <f>IF(B760=0,"",COUNTIFS('Extração'!O:O,"Sim",'Extração'!J:J,A760)/B760)</f>
        <v/>
      </c>
      <c r="E760" s="12" t="str">
        <f>IF(B760=0,"",COUNTIFS('Extração'!N:N,"Parcialmente",'Extração'!J:J,A760)/B760)</f>
        <v/>
      </c>
      <c r="F760" s="12" t="str">
        <f>IF(B760=0,"",COUNTIFS('Extração'!O:O,"Parcialmente",'Extração'!J:J,A760)/B760)</f>
        <v/>
      </c>
      <c r="G760" s="12" t="str">
        <f>IF(B760=0,"",COUNTIFS('Extração'!N:N,"Não",'Extração'!J:J,A760)/B760)</f>
        <v/>
      </c>
      <c r="H760" s="12" t="str">
        <f>IF(B760=0,"",COUNTIFS('Extração'!O:O,"Não",'Extração'!J:J,A760)/B760)</f>
        <v/>
      </c>
      <c r="I760" s="12" t="str">
        <f>IF(B760=0,"",COUNTIFS('Extração'!P:P,"Igual",'Extração'!J:J,A760)/B760)</f>
        <v/>
      </c>
    </row>
    <row r="761">
      <c r="B761" s="12">
        <f>COUNTIF('Extração'!J:J,A761)</f>
        <v>0</v>
      </c>
      <c r="C761" s="12" t="str">
        <f>IF(B761=0,"",COUNTIFS('Extração'!N:N,"Sim",'Extração'!J:J,A761)/B761)</f>
        <v/>
      </c>
      <c r="D761" s="12" t="str">
        <f>IF(B761=0,"",COUNTIFS('Extração'!O:O,"Sim",'Extração'!J:J,A761)/B761)</f>
        <v/>
      </c>
      <c r="E761" s="12" t="str">
        <f>IF(B761=0,"",COUNTIFS('Extração'!N:N,"Parcialmente",'Extração'!J:J,A761)/B761)</f>
        <v/>
      </c>
      <c r="F761" s="12" t="str">
        <f>IF(B761=0,"",COUNTIFS('Extração'!O:O,"Parcialmente",'Extração'!J:J,A761)/B761)</f>
        <v/>
      </c>
      <c r="G761" s="12" t="str">
        <f>IF(B761=0,"",COUNTIFS('Extração'!N:N,"Não",'Extração'!J:J,A761)/B761)</f>
        <v/>
      </c>
      <c r="H761" s="12" t="str">
        <f>IF(B761=0,"",COUNTIFS('Extração'!O:O,"Não",'Extração'!J:J,A761)/B761)</f>
        <v/>
      </c>
      <c r="I761" s="12" t="str">
        <f>IF(B761=0,"",COUNTIFS('Extração'!P:P,"Igual",'Extração'!J:J,A761)/B761)</f>
        <v/>
      </c>
    </row>
    <row r="762">
      <c r="B762" s="12">
        <f>COUNTIF('Extração'!J:J,A762)</f>
        <v>0</v>
      </c>
      <c r="C762" s="12" t="str">
        <f>IF(B762=0,"",COUNTIFS('Extração'!N:N,"Sim",'Extração'!J:J,A762)/B762)</f>
        <v/>
      </c>
      <c r="D762" s="12" t="str">
        <f>IF(B762=0,"",COUNTIFS('Extração'!O:O,"Sim",'Extração'!J:J,A762)/B762)</f>
        <v/>
      </c>
      <c r="E762" s="12" t="str">
        <f>IF(B762=0,"",COUNTIFS('Extração'!N:N,"Parcialmente",'Extração'!J:J,A762)/B762)</f>
        <v/>
      </c>
      <c r="F762" s="12" t="str">
        <f>IF(B762=0,"",COUNTIFS('Extração'!O:O,"Parcialmente",'Extração'!J:J,A762)/B762)</f>
        <v/>
      </c>
      <c r="G762" s="12" t="str">
        <f>IF(B762=0,"",COUNTIFS('Extração'!N:N,"Não",'Extração'!J:J,A762)/B762)</f>
        <v/>
      </c>
      <c r="H762" s="12" t="str">
        <f>IF(B762=0,"",COUNTIFS('Extração'!O:O,"Não",'Extração'!J:J,A762)/B762)</f>
        <v/>
      </c>
      <c r="I762" s="12" t="str">
        <f>IF(B762=0,"",COUNTIFS('Extração'!P:P,"Igual",'Extração'!J:J,A762)/B762)</f>
        <v/>
      </c>
    </row>
    <row r="763">
      <c r="B763" s="12">
        <f>COUNTIF('Extração'!J:J,A763)</f>
        <v>0</v>
      </c>
      <c r="C763" s="12" t="str">
        <f>IF(B763=0,"",COUNTIFS('Extração'!N:N,"Sim",'Extração'!J:J,A763)/B763)</f>
        <v/>
      </c>
      <c r="D763" s="12" t="str">
        <f>IF(B763=0,"",COUNTIFS('Extração'!O:O,"Sim",'Extração'!J:J,A763)/B763)</f>
        <v/>
      </c>
      <c r="E763" s="12" t="str">
        <f>IF(B763=0,"",COUNTIFS('Extração'!N:N,"Parcialmente",'Extração'!J:J,A763)/B763)</f>
        <v/>
      </c>
      <c r="F763" s="12" t="str">
        <f>IF(B763=0,"",COUNTIFS('Extração'!O:O,"Parcialmente",'Extração'!J:J,A763)/B763)</f>
        <v/>
      </c>
      <c r="G763" s="12" t="str">
        <f>IF(B763=0,"",COUNTIFS('Extração'!N:N,"Não",'Extração'!J:J,A763)/B763)</f>
        <v/>
      </c>
      <c r="H763" s="12" t="str">
        <f>IF(B763=0,"",COUNTIFS('Extração'!O:O,"Não",'Extração'!J:J,A763)/B763)</f>
        <v/>
      </c>
      <c r="I763" s="12" t="str">
        <f>IF(B763=0,"",COUNTIFS('Extração'!P:P,"Igual",'Extração'!J:J,A763)/B763)</f>
        <v/>
      </c>
    </row>
    <row r="764">
      <c r="B764" s="12">
        <f>COUNTIF('Extração'!J:J,A764)</f>
        <v>0</v>
      </c>
      <c r="C764" s="12" t="str">
        <f>IF(B764=0,"",COUNTIFS('Extração'!N:N,"Sim",'Extração'!J:J,A764)/B764)</f>
        <v/>
      </c>
      <c r="D764" s="12" t="str">
        <f>IF(B764=0,"",COUNTIFS('Extração'!O:O,"Sim",'Extração'!J:J,A764)/B764)</f>
        <v/>
      </c>
      <c r="E764" s="12" t="str">
        <f>IF(B764=0,"",COUNTIFS('Extração'!N:N,"Parcialmente",'Extração'!J:J,A764)/B764)</f>
        <v/>
      </c>
      <c r="F764" s="12" t="str">
        <f>IF(B764=0,"",COUNTIFS('Extração'!O:O,"Parcialmente",'Extração'!J:J,A764)/B764)</f>
        <v/>
      </c>
      <c r="G764" s="12" t="str">
        <f>IF(B764=0,"",COUNTIFS('Extração'!N:N,"Não",'Extração'!J:J,A764)/B764)</f>
        <v/>
      </c>
      <c r="H764" s="12" t="str">
        <f>IF(B764=0,"",COUNTIFS('Extração'!O:O,"Não",'Extração'!J:J,A764)/B764)</f>
        <v/>
      </c>
      <c r="I764" s="12" t="str">
        <f>IF(B764=0,"",COUNTIFS('Extração'!P:P,"Igual",'Extração'!J:J,A764)/B764)</f>
        <v/>
      </c>
    </row>
    <row r="765">
      <c r="B765" s="12">
        <f>COUNTIF('Extração'!J:J,A765)</f>
        <v>0</v>
      </c>
      <c r="C765" s="12" t="str">
        <f>IF(B765=0,"",COUNTIFS('Extração'!N:N,"Sim",'Extração'!J:J,A765)/B765)</f>
        <v/>
      </c>
      <c r="D765" s="12" t="str">
        <f>IF(B765=0,"",COUNTIFS('Extração'!O:O,"Sim",'Extração'!J:J,A765)/B765)</f>
        <v/>
      </c>
      <c r="E765" s="12" t="str">
        <f>IF(B765=0,"",COUNTIFS('Extração'!N:N,"Parcialmente",'Extração'!J:J,A765)/B765)</f>
        <v/>
      </c>
      <c r="F765" s="12" t="str">
        <f>IF(B765=0,"",COUNTIFS('Extração'!O:O,"Parcialmente",'Extração'!J:J,A765)/B765)</f>
        <v/>
      </c>
      <c r="G765" s="12" t="str">
        <f>IF(B765=0,"",COUNTIFS('Extração'!N:N,"Não",'Extração'!J:J,A765)/B765)</f>
        <v/>
      </c>
      <c r="H765" s="12" t="str">
        <f>IF(B765=0,"",COUNTIFS('Extração'!O:O,"Não",'Extração'!J:J,A765)/B765)</f>
        <v/>
      </c>
      <c r="I765" s="12" t="str">
        <f>IF(B765=0,"",COUNTIFS('Extração'!P:P,"Igual",'Extração'!J:J,A765)/B765)</f>
        <v/>
      </c>
    </row>
    <row r="766">
      <c r="B766" s="12">
        <f>COUNTIF('Extração'!J:J,A766)</f>
        <v>0</v>
      </c>
      <c r="C766" s="12" t="str">
        <f>IF(B766=0,"",COUNTIFS('Extração'!N:N,"Sim",'Extração'!J:J,A766)/B766)</f>
        <v/>
      </c>
      <c r="D766" s="12" t="str">
        <f>IF(B766=0,"",COUNTIFS('Extração'!O:O,"Sim",'Extração'!J:J,A766)/B766)</f>
        <v/>
      </c>
      <c r="E766" s="12" t="str">
        <f>IF(B766=0,"",COUNTIFS('Extração'!N:N,"Parcialmente",'Extração'!J:J,A766)/B766)</f>
        <v/>
      </c>
      <c r="F766" s="12" t="str">
        <f>IF(B766=0,"",COUNTIFS('Extração'!O:O,"Parcialmente",'Extração'!J:J,A766)/B766)</f>
        <v/>
      </c>
      <c r="G766" s="12" t="str">
        <f>IF(B766=0,"",COUNTIFS('Extração'!N:N,"Não",'Extração'!J:J,A766)/B766)</f>
        <v/>
      </c>
      <c r="H766" s="12" t="str">
        <f>IF(B766=0,"",COUNTIFS('Extração'!O:O,"Não",'Extração'!J:J,A766)/B766)</f>
        <v/>
      </c>
      <c r="I766" s="12" t="str">
        <f>IF(B766=0,"",COUNTIFS('Extração'!P:P,"Igual",'Extração'!J:J,A766)/B766)</f>
        <v/>
      </c>
    </row>
    <row r="767">
      <c r="B767" s="12">
        <f>COUNTIF('Extração'!J:J,A767)</f>
        <v>0</v>
      </c>
      <c r="C767" s="12" t="str">
        <f>IF(B767=0,"",COUNTIFS('Extração'!N:N,"Sim",'Extração'!J:J,A767)/B767)</f>
        <v/>
      </c>
      <c r="D767" s="12" t="str">
        <f>IF(B767=0,"",COUNTIFS('Extração'!O:O,"Sim",'Extração'!J:J,A767)/B767)</f>
        <v/>
      </c>
      <c r="E767" s="12" t="str">
        <f>IF(B767=0,"",COUNTIFS('Extração'!N:N,"Parcialmente",'Extração'!J:J,A767)/B767)</f>
        <v/>
      </c>
      <c r="F767" s="12" t="str">
        <f>IF(B767=0,"",COUNTIFS('Extração'!O:O,"Parcialmente",'Extração'!J:J,A767)/B767)</f>
        <v/>
      </c>
      <c r="G767" s="12" t="str">
        <f>IF(B767=0,"",COUNTIFS('Extração'!N:N,"Não",'Extração'!J:J,A767)/B767)</f>
        <v/>
      </c>
      <c r="H767" s="12" t="str">
        <f>IF(B767=0,"",COUNTIFS('Extração'!O:O,"Não",'Extração'!J:J,A767)/B767)</f>
        <v/>
      </c>
      <c r="I767" s="12" t="str">
        <f>IF(B767=0,"",COUNTIFS('Extração'!P:P,"Igual",'Extração'!J:J,A767)/B767)</f>
        <v/>
      </c>
    </row>
    <row r="768">
      <c r="B768" s="12">
        <f>COUNTIF('Extração'!J:J,A768)</f>
        <v>0</v>
      </c>
      <c r="C768" s="12" t="str">
        <f>IF(B768=0,"",COUNTIFS('Extração'!N:N,"Sim",'Extração'!J:J,A768)/B768)</f>
        <v/>
      </c>
      <c r="D768" s="12" t="str">
        <f>IF(B768=0,"",COUNTIFS('Extração'!O:O,"Sim",'Extração'!J:J,A768)/B768)</f>
        <v/>
      </c>
      <c r="E768" s="12" t="str">
        <f>IF(B768=0,"",COUNTIFS('Extração'!N:N,"Parcialmente",'Extração'!J:J,A768)/B768)</f>
        <v/>
      </c>
      <c r="F768" s="12" t="str">
        <f>IF(B768=0,"",COUNTIFS('Extração'!O:O,"Parcialmente",'Extração'!J:J,A768)/B768)</f>
        <v/>
      </c>
      <c r="G768" s="12" t="str">
        <f>IF(B768=0,"",COUNTIFS('Extração'!N:N,"Não",'Extração'!J:J,A768)/B768)</f>
        <v/>
      </c>
      <c r="H768" s="12" t="str">
        <f>IF(B768=0,"",COUNTIFS('Extração'!O:O,"Não",'Extração'!J:J,A768)/B768)</f>
        <v/>
      </c>
      <c r="I768" s="12" t="str">
        <f>IF(B768=0,"",COUNTIFS('Extração'!P:P,"Igual",'Extração'!J:J,A768)/B768)</f>
        <v/>
      </c>
    </row>
    <row r="769">
      <c r="B769" s="12">
        <f>COUNTIF('Extração'!J:J,A769)</f>
        <v>0</v>
      </c>
      <c r="C769" s="12" t="str">
        <f>IF(B769=0,"",COUNTIFS('Extração'!N:N,"Sim",'Extração'!J:J,A769)/B769)</f>
        <v/>
      </c>
      <c r="D769" s="12" t="str">
        <f>IF(B769=0,"",COUNTIFS('Extração'!O:O,"Sim",'Extração'!J:J,A769)/B769)</f>
        <v/>
      </c>
      <c r="E769" s="12" t="str">
        <f>IF(B769=0,"",COUNTIFS('Extração'!N:N,"Parcialmente",'Extração'!J:J,A769)/B769)</f>
        <v/>
      </c>
      <c r="F769" s="12" t="str">
        <f>IF(B769=0,"",COUNTIFS('Extração'!O:O,"Parcialmente",'Extração'!J:J,A769)/B769)</f>
        <v/>
      </c>
      <c r="G769" s="12" t="str">
        <f>IF(B769=0,"",COUNTIFS('Extração'!N:N,"Não",'Extração'!J:J,A769)/B769)</f>
        <v/>
      </c>
      <c r="H769" s="12" t="str">
        <f>IF(B769=0,"",COUNTIFS('Extração'!O:O,"Não",'Extração'!J:J,A769)/B769)</f>
        <v/>
      </c>
      <c r="I769" s="12" t="str">
        <f>IF(B769=0,"",COUNTIFS('Extração'!P:P,"Igual",'Extração'!J:J,A769)/B769)</f>
        <v/>
      </c>
    </row>
    <row r="770">
      <c r="B770" s="12">
        <f>COUNTIF('Extração'!J:J,A770)</f>
        <v>0</v>
      </c>
      <c r="C770" s="12" t="str">
        <f>IF(B770=0,"",COUNTIFS('Extração'!N:N,"Sim",'Extração'!J:J,A770)/B770)</f>
        <v/>
      </c>
      <c r="D770" s="12" t="str">
        <f>IF(B770=0,"",COUNTIFS('Extração'!O:O,"Sim",'Extração'!J:J,A770)/B770)</f>
        <v/>
      </c>
      <c r="E770" s="12" t="str">
        <f>IF(B770=0,"",COUNTIFS('Extração'!N:N,"Parcialmente",'Extração'!J:J,A770)/B770)</f>
        <v/>
      </c>
      <c r="F770" s="12" t="str">
        <f>IF(B770=0,"",COUNTIFS('Extração'!O:O,"Parcialmente",'Extração'!J:J,A770)/B770)</f>
        <v/>
      </c>
      <c r="G770" s="12" t="str">
        <f>IF(B770=0,"",COUNTIFS('Extração'!N:N,"Não",'Extração'!J:J,A770)/B770)</f>
        <v/>
      </c>
      <c r="H770" s="12" t="str">
        <f>IF(B770=0,"",COUNTIFS('Extração'!O:O,"Não",'Extração'!J:J,A770)/B770)</f>
        <v/>
      </c>
      <c r="I770" s="12" t="str">
        <f>IF(B770=0,"",COUNTIFS('Extração'!P:P,"Igual",'Extração'!J:J,A770)/B770)</f>
        <v/>
      </c>
    </row>
    <row r="771">
      <c r="B771" s="12">
        <f>COUNTIF('Extração'!J:J,A771)</f>
        <v>0</v>
      </c>
      <c r="C771" s="12" t="str">
        <f>IF(B771=0,"",COUNTIFS('Extração'!N:N,"Sim",'Extração'!J:J,A771)/B771)</f>
        <v/>
      </c>
      <c r="D771" s="12" t="str">
        <f>IF(B771=0,"",COUNTIFS('Extração'!O:O,"Sim",'Extração'!J:J,A771)/B771)</f>
        <v/>
      </c>
      <c r="E771" s="12" t="str">
        <f>IF(B771=0,"",COUNTIFS('Extração'!N:N,"Parcialmente",'Extração'!J:J,A771)/B771)</f>
        <v/>
      </c>
      <c r="F771" s="12" t="str">
        <f>IF(B771=0,"",COUNTIFS('Extração'!O:O,"Parcialmente",'Extração'!J:J,A771)/B771)</f>
        <v/>
      </c>
      <c r="G771" s="12" t="str">
        <f>IF(B771=0,"",COUNTIFS('Extração'!N:N,"Não",'Extração'!J:J,A771)/B771)</f>
        <v/>
      </c>
      <c r="H771" s="12" t="str">
        <f>IF(B771=0,"",COUNTIFS('Extração'!O:O,"Não",'Extração'!J:J,A771)/B771)</f>
        <v/>
      </c>
      <c r="I771" s="12" t="str">
        <f>IF(B771=0,"",COUNTIFS('Extração'!P:P,"Igual",'Extração'!J:J,A771)/B771)</f>
        <v/>
      </c>
    </row>
    <row r="772">
      <c r="B772" s="12">
        <f>COUNTIF('Extração'!J:J,A772)</f>
        <v>0</v>
      </c>
      <c r="C772" s="12" t="str">
        <f>IF(B772=0,"",COUNTIFS('Extração'!N:N,"Sim",'Extração'!J:J,A772)/B772)</f>
        <v/>
      </c>
      <c r="D772" s="12" t="str">
        <f>IF(B772=0,"",COUNTIFS('Extração'!O:O,"Sim",'Extração'!J:J,A772)/B772)</f>
        <v/>
      </c>
      <c r="E772" s="12" t="str">
        <f>IF(B772=0,"",COUNTIFS('Extração'!N:N,"Parcialmente",'Extração'!J:J,A772)/B772)</f>
        <v/>
      </c>
      <c r="F772" s="12" t="str">
        <f>IF(B772=0,"",COUNTIFS('Extração'!O:O,"Parcialmente",'Extração'!J:J,A772)/B772)</f>
        <v/>
      </c>
      <c r="G772" s="12" t="str">
        <f>IF(B772=0,"",COUNTIFS('Extração'!N:N,"Não",'Extração'!J:J,A772)/B772)</f>
        <v/>
      </c>
      <c r="H772" s="12" t="str">
        <f>IF(B772=0,"",COUNTIFS('Extração'!O:O,"Não",'Extração'!J:J,A772)/B772)</f>
        <v/>
      </c>
      <c r="I772" s="12" t="str">
        <f>IF(B772=0,"",COUNTIFS('Extração'!P:P,"Igual",'Extração'!J:J,A772)/B772)</f>
        <v/>
      </c>
    </row>
    <row r="773">
      <c r="B773" s="12">
        <f>COUNTIF('Extração'!J:J,A773)</f>
        <v>0</v>
      </c>
      <c r="C773" s="12" t="str">
        <f>IF(B773=0,"",COUNTIFS('Extração'!N:N,"Sim",'Extração'!J:J,A773)/B773)</f>
        <v/>
      </c>
      <c r="D773" s="12" t="str">
        <f>IF(B773=0,"",COUNTIFS('Extração'!O:O,"Sim",'Extração'!J:J,A773)/B773)</f>
        <v/>
      </c>
      <c r="E773" s="12" t="str">
        <f>IF(B773=0,"",COUNTIFS('Extração'!N:N,"Parcialmente",'Extração'!J:J,A773)/B773)</f>
        <v/>
      </c>
      <c r="F773" s="12" t="str">
        <f>IF(B773=0,"",COUNTIFS('Extração'!O:O,"Parcialmente",'Extração'!J:J,A773)/B773)</f>
        <v/>
      </c>
      <c r="G773" s="12" t="str">
        <f>IF(B773=0,"",COUNTIFS('Extração'!N:N,"Não",'Extração'!J:J,A773)/B773)</f>
        <v/>
      </c>
      <c r="H773" s="12" t="str">
        <f>IF(B773=0,"",COUNTIFS('Extração'!O:O,"Não",'Extração'!J:J,A773)/B773)</f>
        <v/>
      </c>
      <c r="I773" s="12" t="str">
        <f>IF(B773=0,"",COUNTIFS('Extração'!P:P,"Igual",'Extração'!J:J,A773)/B773)</f>
        <v/>
      </c>
    </row>
    <row r="774">
      <c r="B774" s="12">
        <f>COUNTIF('Extração'!J:J,A774)</f>
        <v>0</v>
      </c>
      <c r="C774" s="12" t="str">
        <f>IF(B774=0,"",COUNTIFS('Extração'!N:N,"Sim",'Extração'!J:J,A774)/B774)</f>
        <v/>
      </c>
      <c r="D774" s="12" t="str">
        <f>IF(B774=0,"",COUNTIFS('Extração'!O:O,"Sim",'Extração'!J:J,A774)/B774)</f>
        <v/>
      </c>
      <c r="E774" s="12" t="str">
        <f>IF(B774=0,"",COUNTIFS('Extração'!N:N,"Parcialmente",'Extração'!J:J,A774)/B774)</f>
        <v/>
      </c>
      <c r="F774" s="12" t="str">
        <f>IF(B774=0,"",COUNTIFS('Extração'!O:O,"Parcialmente",'Extração'!J:J,A774)/B774)</f>
        <v/>
      </c>
      <c r="G774" s="12" t="str">
        <f>IF(B774=0,"",COUNTIFS('Extração'!N:N,"Não",'Extração'!J:J,A774)/B774)</f>
        <v/>
      </c>
      <c r="H774" s="12" t="str">
        <f>IF(B774=0,"",COUNTIFS('Extração'!O:O,"Não",'Extração'!J:J,A774)/B774)</f>
        <v/>
      </c>
      <c r="I774" s="12" t="str">
        <f>IF(B774=0,"",COUNTIFS('Extração'!P:P,"Igual",'Extração'!J:J,A774)/B774)</f>
        <v/>
      </c>
    </row>
    <row r="775">
      <c r="B775" s="12">
        <f>COUNTIF('Extração'!J:J,A775)</f>
        <v>0</v>
      </c>
      <c r="C775" s="12" t="str">
        <f>IF(B775=0,"",COUNTIFS('Extração'!N:N,"Sim",'Extração'!J:J,A775)/B775)</f>
        <v/>
      </c>
      <c r="D775" s="12" t="str">
        <f>IF(B775=0,"",COUNTIFS('Extração'!O:O,"Sim",'Extração'!J:J,A775)/B775)</f>
        <v/>
      </c>
      <c r="E775" s="12" t="str">
        <f>IF(B775=0,"",COUNTIFS('Extração'!N:N,"Parcialmente",'Extração'!J:J,A775)/B775)</f>
        <v/>
      </c>
      <c r="F775" s="12" t="str">
        <f>IF(B775=0,"",COUNTIFS('Extração'!O:O,"Parcialmente",'Extração'!J:J,A775)/B775)</f>
        <v/>
      </c>
      <c r="G775" s="12" t="str">
        <f>IF(B775=0,"",COUNTIFS('Extração'!N:N,"Não",'Extração'!J:J,A775)/B775)</f>
        <v/>
      </c>
      <c r="H775" s="12" t="str">
        <f>IF(B775=0,"",COUNTIFS('Extração'!O:O,"Não",'Extração'!J:J,A775)/B775)</f>
        <v/>
      </c>
      <c r="I775" s="12" t="str">
        <f>IF(B775=0,"",COUNTIFS('Extração'!P:P,"Igual",'Extração'!J:J,A775)/B775)</f>
        <v/>
      </c>
    </row>
    <row r="776">
      <c r="B776" s="12">
        <f>COUNTIF('Extração'!J:J,A776)</f>
        <v>0</v>
      </c>
      <c r="C776" s="12" t="str">
        <f>IF(B776=0,"",COUNTIFS('Extração'!N:N,"Sim",'Extração'!J:J,A776)/B776)</f>
        <v/>
      </c>
      <c r="D776" s="12" t="str">
        <f>IF(B776=0,"",COUNTIFS('Extração'!O:O,"Sim",'Extração'!J:J,A776)/B776)</f>
        <v/>
      </c>
      <c r="E776" s="12" t="str">
        <f>IF(B776=0,"",COUNTIFS('Extração'!N:N,"Parcialmente",'Extração'!J:J,A776)/B776)</f>
        <v/>
      </c>
      <c r="F776" s="12" t="str">
        <f>IF(B776=0,"",COUNTIFS('Extração'!O:O,"Parcialmente",'Extração'!J:J,A776)/B776)</f>
        <v/>
      </c>
      <c r="G776" s="12" t="str">
        <f>IF(B776=0,"",COUNTIFS('Extração'!N:N,"Não",'Extração'!J:J,A776)/B776)</f>
        <v/>
      </c>
      <c r="H776" s="12" t="str">
        <f>IF(B776=0,"",COUNTIFS('Extração'!O:O,"Não",'Extração'!J:J,A776)/B776)</f>
        <v/>
      </c>
      <c r="I776" s="12" t="str">
        <f>IF(B776=0,"",COUNTIFS('Extração'!P:P,"Igual",'Extração'!J:J,A776)/B776)</f>
        <v/>
      </c>
    </row>
    <row r="777">
      <c r="B777" s="12">
        <f>COUNTIF('Extração'!J:J,A777)</f>
        <v>0</v>
      </c>
      <c r="C777" s="12" t="str">
        <f>IF(B777=0,"",COUNTIFS('Extração'!N:N,"Sim",'Extração'!J:J,A777)/B777)</f>
        <v/>
      </c>
      <c r="D777" s="12" t="str">
        <f>IF(B777=0,"",COUNTIFS('Extração'!O:O,"Sim",'Extração'!J:J,A777)/B777)</f>
        <v/>
      </c>
      <c r="E777" s="12" t="str">
        <f>IF(B777=0,"",COUNTIFS('Extração'!N:N,"Parcialmente",'Extração'!J:J,A777)/B777)</f>
        <v/>
      </c>
      <c r="F777" s="12" t="str">
        <f>IF(B777=0,"",COUNTIFS('Extração'!O:O,"Parcialmente",'Extração'!J:J,A777)/B777)</f>
        <v/>
      </c>
      <c r="G777" s="12" t="str">
        <f>IF(B777=0,"",COUNTIFS('Extração'!N:N,"Não",'Extração'!J:J,A777)/B777)</f>
        <v/>
      </c>
      <c r="H777" s="12" t="str">
        <f>IF(B777=0,"",COUNTIFS('Extração'!O:O,"Não",'Extração'!J:J,A777)/B777)</f>
        <v/>
      </c>
      <c r="I777" s="12" t="str">
        <f>IF(B777=0,"",COUNTIFS('Extração'!P:P,"Igual",'Extração'!J:J,A777)/B777)</f>
        <v/>
      </c>
    </row>
    <row r="778">
      <c r="B778" s="12">
        <f>COUNTIF('Extração'!J:J,A778)</f>
        <v>0</v>
      </c>
      <c r="C778" s="12" t="str">
        <f>IF(B778=0,"",COUNTIFS('Extração'!N:N,"Sim",'Extração'!J:J,A778)/B778)</f>
        <v/>
      </c>
      <c r="D778" s="12" t="str">
        <f>IF(B778=0,"",COUNTIFS('Extração'!O:O,"Sim",'Extração'!J:J,A778)/B778)</f>
        <v/>
      </c>
      <c r="E778" s="12" t="str">
        <f>IF(B778=0,"",COUNTIFS('Extração'!N:N,"Parcialmente",'Extração'!J:J,A778)/B778)</f>
        <v/>
      </c>
      <c r="F778" s="12" t="str">
        <f>IF(B778=0,"",COUNTIFS('Extração'!O:O,"Parcialmente",'Extração'!J:J,A778)/B778)</f>
        <v/>
      </c>
      <c r="G778" s="12" t="str">
        <f>IF(B778=0,"",COUNTIFS('Extração'!N:N,"Não",'Extração'!J:J,A778)/B778)</f>
        <v/>
      </c>
      <c r="H778" s="12" t="str">
        <f>IF(B778=0,"",COUNTIFS('Extração'!O:O,"Não",'Extração'!J:J,A778)/B778)</f>
        <v/>
      </c>
      <c r="I778" s="12" t="str">
        <f>IF(B778=0,"",COUNTIFS('Extração'!P:P,"Igual",'Extração'!J:J,A778)/B778)</f>
        <v/>
      </c>
    </row>
    <row r="779">
      <c r="B779" s="12">
        <f>COUNTIF('Extração'!J:J,A779)</f>
        <v>0</v>
      </c>
      <c r="C779" s="12" t="str">
        <f>IF(B779=0,"",COUNTIFS('Extração'!N:N,"Sim",'Extração'!J:J,A779)/B779)</f>
        <v/>
      </c>
      <c r="D779" s="12" t="str">
        <f>IF(B779=0,"",COUNTIFS('Extração'!O:O,"Sim",'Extração'!J:J,A779)/B779)</f>
        <v/>
      </c>
      <c r="E779" s="12" t="str">
        <f>IF(B779=0,"",COUNTIFS('Extração'!N:N,"Parcialmente",'Extração'!J:J,A779)/B779)</f>
        <v/>
      </c>
      <c r="F779" s="12" t="str">
        <f>IF(B779=0,"",COUNTIFS('Extração'!O:O,"Parcialmente",'Extração'!J:J,A779)/B779)</f>
        <v/>
      </c>
      <c r="G779" s="12" t="str">
        <f>IF(B779=0,"",COUNTIFS('Extração'!N:N,"Não",'Extração'!J:J,A779)/B779)</f>
        <v/>
      </c>
      <c r="H779" s="12" t="str">
        <f>IF(B779=0,"",COUNTIFS('Extração'!O:O,"Não",'Extração'!J:J,A779)/B779)</f>
        <v/>
      </c>
      <c r="I779" s="12" t="str">
        <f>IF(B779=0,"",COUNTIFS('Extração'!P:P,"Igual",'Extração'!J:J,A779)/B779)</f>
        <v/>
      </c>
    </row>
    <row r="780">
      <c r="B780" s="12">
        <f>COUNTIF('Extração'!J:J,A780)</f>
        <v>0</v>
      </c>
      <c r="C780" s="12" t="str">
        <f>IF(B780=0,"",COUNTIFS('Extração'!N:N,"Sim",'Extração'!J:J,A780)/B780)</f>
        <v/>
      </c>
      <c r="D780" s="12" t="str">
        <f>IF(B780=0,"",COUNTIFS('Extração'!O:O,"Sim",'Extração'!J:J,A780)/B780)</f>
        <v/>
      </c>
      <c r="E780" s="12" t="str">
        <f>IF(B780=0,"",COUNTIFS('Extração'!N:N,"Parcialmente",'Extração'!J:J,A780)/B780)</f>
        <v/>
      </c>
      <c r="F780" s="12" t="str">
        <f>IF(B780=0,"",COUNTIFS('Extração'!O:O,"Parcialmente",'Extração'!J:J,A780)/B780)</f>
        <v/>
      </c>
      <c r="G780" s="12" t="str">
        <f>IF(B780=0,"",COUNTIFS('Extração'!N:N,"Não",'Extração'!J:J,A780)/B780)</f>
        <v/>
      </c>
      <c r="H780" s="12" t="str">
        <f>IF(B780=0,"",COUNTIFS('Extração'!O:O,"Não",'Extração'!J:J,A780)/B780)</f>
        <v/>
      </c>
      <c r="I780" s="12" t="str">
        <f>IF(B780=0,"",COUNTIFS('Extração'!P:P,"Igual",'Extração'!J:J,A780)/B780)</f>
        <v/>
      </c>
    </row>
    <row r="781">
      <c r="B781" s="12">
        <f>COUNTIF('Extração'!J:J,A781)</f>
        <v>0</v>
      </c>
      <c r="C781" s="12" t="str">
        <f>IF(B781=0,"",COUNTIFS('Extração'!N:N,"Sim",'Extração'!J:J,A781)/B781)</f>
        <v/>
      </c>
      <c r="D781" s="12" t="str">
        <f>IF(B781=0,"",COUNTIFS('Extração'!O:O,"Sim",'Extração'!J:J,A781)/B781)</f>
        <v/>
      </c>
      <c r="E781" s="12" t="str">
        <f>IF(B781=0,"",COUNTIFS('Extração'!N:N,"Parcialmente",'Extração'!J:J,A781)/B781)</f>
        <v/>
      </c>
      <c r="F781" s="12" t="str">
        <f>IF(B781=0,"",COUNTIFS('Extração'!O:O,"Parcialmente",'Extração'!J:J,A781)/B781)</f>
        <v/>
      </c>
      <c r="G781" s="12" t="str">
        <f>IF(B781=0,"",COUNTIFS('Extração'!N:N,"Não",'Extração'!J:J,A781)/B781)</f>
        <v/>
      </c>
      <c r="H781" s="12" t="str">
        <f>IF(B781=0,"",COUNTIFS('Extração'!O:O,"Não",'Extração'!J:J,A781)/B781)</f>
        <v/>
      </c>
      <c r="I781" s="12" t="str">
        <f>IF(B781=0,"",COUNTIFS('Extração'!P:P,"Igual",'Extração'!J:J,A781)/B781)</f>
        <v/>
      </c>
    </row>
    <row r="782">
      <c r="B782" s="12">
        <f>COUNTIF('Extração'!J:J,A782)</f>
        <v>0</v>
      </c>
      <c r="C782" s="12" t="str">
        <f>IF(B782=0,"",COUNTIFS('Extração'!N:N,"Sim",'Extração'!J:J,A782)/B782)</f>
        <v/>
      </c>
      <c r="D782" s="12" t="str">
        <f>IF(B782=0,"",COUNTIFS('Extração'!O:O,"Sim",'Extração'!J:J,A782)/B782)</f>
        <v/>
      </c>
      <c r="E782" s="12" t="str">
        <f>IF(B782=0,"",COUNTIFS('Extração'!N:N,"Parcialmente",'Extração'!J:J,A782)/B782)</f>
        <v/>
      </c>
      <c r="F782" s="12" t="str">
        <f>IF(B782=0,"",COUNTIFS('Extração'!O:O,"Parcialmente",'Extração'!J:J,A782)/B782)</f>
        <v/>
      </c>
      <c r="G782" s="12" t="str">
        <f>IF(B782=0,"",COUNTIFS('Extração'!N:N,"Não",'Extração'!J:J,A782)/B782)</f>
        <v/>
      </c>
      <c r="H782" s="12" t="str">
        <f>IF(B782=0,"",COUNTIFS('Extração'!O:O,"Não",'Extração'!J:J,A782)/B782)</f>
        <v/>
      </c>
      <c r="I782" s="12" t="str">
        <f>IF(B782=0,"",COUNTIFS('Extração'!P:P,"Igual",'Extração'!J:J,A782)/B782)</f>
        <v/>
      </c>
    </row>
    <row r="783">
      <c r="B783" s="12">
        <f>COUNTIF('Extração'!J:J,A783)</f>
        <v>0</v>
      </c>
      <c r="C783" s="12" t="str">
        <f>IF(B783=0,"",COUNTIFS('Extração'!N:N,"Sim",'Extração'!J:J,A783)/B783)</f>
        <v/>
      </c>
      <c r="D783" s="12" t="str">
        <f>IF(B783=0,"",COUNTIFS('Extração'!O:O,"Sim",'Extração'!J:J,A783)/B783)</f>
        <v/>
      </c>
      <c r="E783" s="12" t="str">
        <f>IF(B783=0,"",COUNTIFS('Extração'!N:N,"Parcialmente",'Extração'!J:J,A783)/B783)</f>
        <v/>
      </c>
      <c r="F783" s="12" t="str">
        <f>IF(B783=0,"",COUNTIFS('Extração'!O:O,"Parcialmente",'Extração'!J:J,A783)/B783)</f>
        <v/>
      </c>
      <c r="G783" s="12" t="str">
        <f>IF(B783=0,"",COUNTIFS('Extração'!N:N,"Não",'Extração'!J:J,A783)/B783)</f>
        <v/>
      </c>
      <c r="H783" s="12" t="str">
        <f>IF(B783=0,"",COUNTIFS('Extração'!O:O,"Não",'Extração'!J:J,A783)/B783)</f>
        <v/>
      </c>
      <c r="I783" s="12" t="str">
        <f>IF(B783=0,"",COUNTIFS('Extração'!P:P,"Igual",'Extração'!J:J,A783)/B783)</f>
        <v/>
      </c>
    </row>
    <row r="784">
      <c r="B784" s="12">
        <f>COUNTIF('Extração'!J:J,A784)</f>
        <v>0</v>
      </c>
      <c r="C784" s="12" t="str">
        <f>IF(B784=0,"",COUNTIFS('Extração'!N:N,"Sim",'Extração'!J:J,A784)/B784)</f>
        <v/>
      </c>
      <c r="D784" s="12" t="str">
        <f>IF(B784=0,"",COUNTIFS('Extração'!O:O,"Sim",'Extração'!J:J,A784)/B784)</f>
        <v/>
      </c>
      <c r="E784" s="12" t="str">
        <f>IF(B784=0,"",COUNTIFS('Extração'!N:N,"Parcialmente",'Extração'!J:J,A784)/B784)</f>
        <v/>
      </c>
      <c r="F784" s="12" t="str">
        <f>IF(B784=0,"",COUNTIFS('Extração'!O:O,"Parcialmente",'Extração'!J:J,A784)/B784)</f>
        <v/>
      </c>
      <c r="G784" s="12" t="str">
        <f>IF(B784=0,"",COUNTIFS('Extração'!N:N,"Não",'Extração'!J:J,A784)/B784)</f>
        <v/>
      </c>
      <c r="H784" s="12" t="str">
        <f>IF(B784=0,"",COUNTIFS('Extração'!O:O,"Não",'Extração'!J:J,A784)/B784)</f>
        <v/>
      </c>
      <c r="I784" s="12" t="str">
        <f>IF(B784=0,"",COUNTIFS('Extração'!P:P,"Igual",'Extração'!J:J,A784)/B784)</f>
        <v/>
      </c>
    </row>
    <row r="785">
      <c r="B785" s="12">
        <f>COUNTIF('Extração'!J:J,A785)</f>
        <v>0</v>
      </c>
      <c r="C785" s="12" t="str">
        <f>IF(B785=0,"",COUNTIFS('Extração'!N:N,"Sim",'Extração'!J:J,A785)/B785)</f>
        <v/>
      </c>
      <c r="D785" s="12" t="str">
        <f>IF(B785=0,"",COUNTIFS('Extração'!O:O,"Sim",'Extração'!J:J,A785)/B785)</f>
        <v/>
      </c>
      <c r="E785" s="12" t="str">
        <f>IF(B785=0,"",COUNTIFS('Extração'!N:N,"Parcialmente",'Extração'!J:J,A785)/B785)</f>
        <v/>
      </c>
      <c r="F785" s="12" t="str">
        <f>IF(B785=0,"",COUNTIFS('Extração'!O:O,"Parcialmente",'Extração'!J:J,A785)/B785)</f>
        <v/>
      </c>
      <c r="G785" s="12" t="str">
        <f>IF(B785=0,"",COUNTIFS('Extração'!N:N,"Não",'Extração'!J:J,A785)/B785)</f>
        <v/>
      </c>
      <c r="H785" s="12" t="str">
        <f>IF(B785=0,"",COUNTIFS('Extração'!O:O,"Não",'Extração'!J:J,A785)/B785)</f>
        <v/>
      </c>
      <c r="I785" s="12" t="str">
        <f>IF(B785=0,"",COUNTIFS('Extração'!P:P,"Igual",'Extração'!J:J,A785)/B785)</f>
        <v/>
      </c>
    </row>
    <row r="786">
      <c r="B786" s="12">
        <f>COUNTIF('Extração'!J:J,A786)</f>
        <v>0</v>
      </c>
      <c r="C786" s="12" t="str">
        <f>IF(B786=0,"",COUNTIFS('Extração'!N:N,"Sim",'Extração'!J:J,A786)/B786)</f>
        <v/>
      </c>
      <c r="D786" s="12" t="str">
        <f>IF(B786=0,"",COUNTIFS('Extração'!O:O,"Sim",'Extração'!J:J,A786)/B786)</f>
        <v/>
      </c>
      <c r="E786" s="12" t="str">
        <f>IF(B786=0,"",COUNTIFS('Extração'!N:N,"Parcialmente",'Extração'!J:J,A786)/B786)</f>
        <v/>
      </c>
      <c r="F786" s="12" t="str">
        <f>IF(B786=0,"",COUNTIFS('Extração'!O:O,"Parcialmente",'Extração'!J:J,A786)/B786)</f>
        <v/>
      </c>
      <c r="G786" s="12" t="str">
        <f>IF(B786=0,"",COUNTIFS('Extração'!N:N,"Não",'Extração'!J:J,A786)/B786)</f>
        <v/>
      </c>
      <c r="H786" s="12" t="str">
        <f>IF(B786=0,"",COUNTIFS('Extração'!O:O,"Não",'Extração'!J:J,A786)/B786)</f>
        <v/>
      </c>
      <c r="I786" s="12" t="str">
        <f>IF(B786=0,"",COUNTIFS('Extração'!P:P,"Igual",'Extração'!J:J,A786)/B786)</f>
        <v/>
      </c>
    </row>
    <row r="787">
      <c r="B787" s="12">
        <f>COUNTIF('Extração'!J:J,A787)</f>
        <v>0</v>
      </c>
      <c r="C787" s="12" t="str">
        <f>IF(B787=0,"",COUNTIFS('Extração'!N:N,"Sim",'Extração'!J:J,A787)/B787)</f>
        <v/>
      </c>
      <c r="D787" s="12" t="str">
        <f>IF(B787=0,"",COUNTIFS('Extração'!O:O,"Sim",'Extração'!J:J,A787)/B787)</f>
        <v/>
      </c>
      <c r="E787" s="12" t="str">
        <f>IF(B787=0,"",COUNTIFS('Extração'!N:N,"Parcialmente",'Extração'!J:J,A787)/B787)</f>
        <v/>
      </c>
      <c r="F787" s="12" t="str">
        <f>IF(B787=0,"",COUNTIFS('Extração'!O:O,"Parcialmente",'Extração'!J:J,A787)/B787)</f>
        <v/>
      </c>
      <c r="G787" s="12" t="str">
        <f>IF(B787=0,"",COUNTIFS('Extração'!N:N,"Não",'Extração'!J:J,A787)/B787)</f>
        <v/>
      </c>
      <c r="H787" s="12" t="str">
        <f>IF(B787=0,"",COUNTIFS('Extração'!O:O,"Não",'Extração'!J:J,A787)/B787)</f>
        <v/>
      </c>
      <c r="I787" s="12" t="str">
        <f>IF(B787=0,"",COUNTIFS('Extração'!P:P,"Igual",'Extração'!J:J,A787)/B787)</f>
        <v/>
      </c>
    </row>
    <row r="788">
      <c r="B788" s="12">
        <f>COUNTIF('Extração'!J:J,A788)</f>
        <v>0</v>
      </c>
      <c r="C788" s="12" t="str">
        <f>IF(B788=0,"",COUNTIFS('Extração'!N:N,"Sim",'Extração'!J:J,A788)/B788)</f>
        <v/>
      </c>
      <c r="D788" s="12" t="str">
        <f>IF(B788=0,"",COUNTIFS('Extração'!O:O,"Sim",'Extração'!J:J,A788)/B788)</f>
        <v/>
      </c>
      <c r="E788" s="12" t="str">
        <f>IF(B788=0,"",COUNTIFS('Extração'!N:N,"Parcialmente",'Extração'!J:J,A788)/B788)</f>
        <v/>
      </c>
      <c r="F788" s="12" t="str">
        <f>IF(B788=0,"",COUNTIFS('Extração'!O:O,"Parcialmente",'Extração'!J:J,A788)/B788)</f>
        <v/>
      </c>
      <c r="G788" s="12" t="str">
        <f>IF(B788=0,"",COUNTIFS('Extração'!N:N,"Não",'Extração'!J:J,A788)/B788)</f>
        <v/>
      </c>
      <c r="H788" s="12" t="str">
        <f>IF(B788=0,"",COUNTIFS('Extração'!O:O,"Não",'Extração'!J:J,A788)/B788)</f>
        <v/>
      </c>
      <c r="I788" s="12" t="str">
        <f>IF(B788=0,"",COUNTIFS('Extração'!P:P,"Igual",'Extração'!J:J,A788)/B788)</f>
        <v/>
      </c>
    </row>
    <row r="789">
      <c r="B789" s="12">
        <f>COUNTIF('Extração'!J:J,A789)</f>
        <v>0</v>
      </c>
      <c r="C789" s="12" t="str">
        <f>IF(B789=0,"",COUNTIFS('Extração'!N:N,"Sim",'Extração'!J:J,A789)/B789)</f>
        <v/>
      </c>
      <c r="D789" s="12" t="str">
        <f>IF(B789=0,"",COUNTIFS('Extração'!O:O,"Sim",'Extração'!J:J,A789)/B789)</f>
        <v/>
      </c>
      <c r="E789" s="12" t="str">
        <f>IF(B789=0,"",COUNTIFS('Extração'!N:N,"Parcialmente",'Extração'!J:J,A789)/B789)</f>
        <v/>
      </c>
      <c r="F789" s="12" t="str">
        <f>IF(B789=0,"",COUNTIFS('Extração'!O:O,"Parcialmente",'Extração'!J:J,A789)/B789)</f>
        <v/>
      </c>
      <c r="G789" s="12" t="str">
        <f>IF(B789=0,"",COUNTIFS('Extração'!N:N,"Não",'Extração'!J:J,A789)/B789)</f>
        <v/>
      </c>
      <c r="H789" s="12" t="str">
        <f>IF(B789=0,"",COUNTIFS('Extração'!O:O,"Não",'Extração'!J:J,A789)/B789)</f>
        <v/>
      </c>
      <c r="I789" s="12" t="str">
        <f>IF(B789=0,"",COUNTIFS('Extração'!P:P,"Igual",'Extração'!J:J,A789)/B789)</f>
        <v/>
      </c>
    </row>
    <row r="790">
      <c r="B790" s="12">
        <f>COUNTIF('Extração'!J:J,A790)</f>
        <v>0</v>
      </c>
      <c r="C790" s="12" t="str">
        <f>IF(B790=0,"",COUNTIFS('Extração'!N:N,"Sim",'Extração'!J:J,A790)/B790)</f>
        <v/>
      </c>
      <c r="D790" s="12" t="str">
        <f>IF(B790=0,"",COUNTIFS('Extração'!O:O,"Sim",'Extração'!J:J,A790)/B790)</f>
        <v/>
      </c>
      <c r="E790" s="12" t="str">
        <f>IF(B790=0,"",COUNTIFS('Extração'!N:N,"Parcialmente",'Extração'!J:J,A790)/B790)</f>
        <v/>
      </c>
      <c r="F790" s="12" t="str">
        <f>IF(B790=0,"",COUNTIFS('Extração'!O:O,"Parcialmente",'Extração'!J:J,A790)/B790)</f>
        <v/>
      </c>
      <c r="G790" s="12" t="str">
        <f>IF(B790=0,"",COUNTIFS('Extração'!N:N,"Não",'Extração'!J:J,A790)/B790)</f>
        <v/>
      </c>
      <c r="H790" s="12" t="str">
        <f>IF(B790=0,"",COUNTIFS('Extração'!O:O,"Não",'Extração'!J:J,A790)/B790)</f>
        <v/>
      </c>
      <c r="I790" s="12" t="str">
        <f>IF(B790=0,"",COUNTIFS('Extração'!P:P,"Igual",'Extração'!J:J,A790)/B790)</f>
        <v/>
      </c>
    </row>
    <row r="791">
      <c r="B791" s="12">
        <f>COUNTIF('Extração'!J:J,A791)</f>
        <v>0</v>
      </c>
      <c r="C791" s="12" t="str">
        <f>IF(B791=0,"",COUNTIFS('Extração'!N:N,"Sim",'Extração'!J:J,A791)/B791)</f>
        <v/>
      </c>
      <c r="D791" s="12" t="str">
        <f>IF(B791=0,"",COUNTIFS('Extração'!O:O,"Sim",'Extração'!J:J,A791)/B791)</f>
        <v/>
      </c>
      <c r="E791" s="12" t="str">
        <f>IF(B791=0,"",COUNTIFS('Extração'!N:N,"Parcialmente",'Extração'!J:J,A791)/B791)</f>
        <v/>
      </c>
      <c r="F791" s="12" t="str">
        <f>IF(B791=0,"",COUNTIFS('Extração'!O:O,"Parcialmente",'Extração'!J:J,A791)/B791)</f>
        <v/>
      </c>
      <c r="G791" s="12" t="str">
        <f>IF(B791=0,"",COUNTIFS('Extração'!N:N,"Não",'Extração'!J:J,A791)/B791)</f>
        <v/>
      </c>
      <c r="H791" s="12" t="str">
        <f>IF(B791=0,"",COUNTIFS('Extração'!O:O,"Não",'Extração'!J:J,A791)/B791)</f>
        <v/>
      </c>
      <c r="I791" s="12" t="str">
        <f>IF(B791=0,"",COUNTIFS('Extração'!P:P,"Igual",'Extração'!J:J,A791)/B791)</f>
        <v/>
      </c>
    </row>
    <row r="792">
      <c r="B792" s="12">
        <f>COUNTIF('Extração'!J:J,A792)</f>
        <v>0</v>
      </c>
      <c r="C792" s="12" t="str">
        <f>IF(B792=0,"",COUNTIFS('Extração'!N:N,"Sim",'Extração'!J:J,A792)/B792)</f>
        <v/>
      </c>
      <c r="D792" s="12" t="str">
        <f>IF(B792=0,"",COUNTIFS('Extração'!O:O,"Sim",'Extração'!J:J,A792)/B792)</f>
        <v/>
      </c>
      <c r="E792" s="12" t="str">
        <f>IF(B792=0,"",COUNTIFS('Extração'!N:N,"Parcialmente",'Extração'!J:J,A792)/B792)</f>
        <v/>
      </c>
      <c r="F792" s="12" t="str">
        <f>IF(B792=0,"",COUNTIFS('Extração'!O:O,"Parcialmente",'Extração'!J:J,A792)/B792)</f>
        <v/>
      </c>
      <c r="G792" s="12" t="str">
        <f>IF(B792=0,"",COUNTIFS('Extração'!N:N,"Não",'Extração'!J:J,A792)/B792)</f>
        <v/>
      </c>
      <c r="H792" s="12" t="str">
        <f>IF(B792=0,"",COUNTIFS('Extração'!O:O,"Não",'Extração'!J:J,A792)/B792)</f>
        <v/>
      </c>
      <c r="I792" s="12" t="str">
        <f>IF(B792=0,"",COUNTIFS('Extração'!P:P,"Igual",'Extração'!J:J,A792)/B792)</f>
        <v/>
      </c>
    </row>
    <row r="793">
      <c r="B793" s="12">
        <f>COUNTIF('Extração'!J:J,A793)</f>
        <v>0</v>
      </c>
      <c r="C793" s="12" t="str">
        <f>IF(B793=0,"",COUNTIFS('Extração'!N:N,"Sim",'Extração'!J:J,A793)/B793)</f>
        <v/>
      </c>
      <c r="D793" s="12" t="str">
        <f>IF(B793=0,"",COUNTIFS('Extração'!O:O,"Sim",'Extração'!J:J,A793)/B793)</f>
        <v/>
      </c>
      <c r="E793" s="12" t="str">
        <f>IF(B793=0,"",COUNTIFS('Extração'!N:N,"Parcialmente",'Extração'!J:J,A793)/B793)</f>
        <v/>
      </c>
      <c r="F793" s="12" t="str">
        <f>IF(B793=0,"",COUNTIFS('Extração'!O:O,"Parcialmente",'Extração'!J:J,A793)/B793)</f>
        <v/>
      </c>
      <c r="G793" s="12" t="str">
        <f>IF(B793=0,"",COUNTIFS('Extração'!N:N,"Não",'Extração'!J:J,A793)/B793)</f>
        <v/>
      </c>
      <c r="H793" s="12" t="str">
        <f>IF(B793=0,"",COUNTIFS('Extração'!O:O,"Não",'Extração'!J:J,A793)/B793)</f>
        <v/>
      </c>
      <c r="I793" s="12" t="str">
        <f>IF(B793=0,"",COUNTIFS('Extração'!P:P,"Igual",'Extração'!J:J,A793)/B793)</f>
        <v/>
      </c>
    </row>
    <row r="794">
      <c r="B794" s="12">
        <f>COUNTIF('Extração'!J:J,A794)</f>
        <v>0</v>
      </c>
      <c r="C794" s="12" t="str">
        <f>IF(B794=0,"",COUNTIFS('Extração'!N:N,"Sim",'Extração'!J:J,A794)/B794)</f>
        <v/>
      </c>
      <c r="D794" s="12" t="str">
        <f>IF(B794=0,"",COUNTIFS('Extração'!O:O,"Sim",'Extração'!J:J,A794)/B794)</f>
        <v/>
      </c>
      <c r="E794" s="12" t="str">
        <f>IF(B794=0,"",COUNTIFS('Extração'!N:N,"Parcialmente",'Extração'!J:J,A794)/B794)</f>
        <v/>
      </c>
      <c r="F794" s="12" t="str">
        <f>IF(B794=0,"",COUNTIFS('Extração'!O:O,"Parcialmente",'Extração'!J:J,A794)/B794)</f>
        <v/>
      </c>
      <c r="G794" s="12" t="str">
        <f>IF(B794=0,"",COUNTIFS('Extração'!N:N,"Não",'Extração'!J:J,A794)/B794)</f>
        <v/>
      </c>
      <c r="H794" s="12" t="str">
        <f>IF(B794=0,"",COUNTIFS('Extração'!O:O,"Não",'Extração'!J:J,A794)/B794)</f>
        <v/>
      </c>
      <c r="I794" s="12" t="str">
        <f>IF(B794=0,"",COUNTIFS('Extração'!P:P,"Igual",'Extração'!J:J,A794)/B794)</f>
        <v/>
      </c>
    </row>
    <row r="795">
      <c r="B795" s="12">
        <f>COUNTIF('Extração'!J:J,A795)</f>
        <v>0</v>
      </c>
      <c r="C795" s="12" t="str">
        <f>IF(B795=0,"",COUNTIFS('Extração'!N:N,"Sim",'Extração'!J:J,A795)/B795)</f>
        <v/>
      </c>
      <c r="D795" s="12" t="str">
        <f>IF(B795=0,"",COUNTIFS('Extração'!O:O,"Sim",'Extração'!J:J,A795)/B795)</f>
        <v/>
      </c>
      <c r="E795" s="12" t="str">
        <f>IF(B795=0,"",COUNTIFS('Extração'!N:N,"Parcialmente",'Extração'!J:J,A795)/B795)</f>
        <v/>
      </c>
      <c r="F795" s="12" t="str">
        <f>IF(B795=0,"",COUNTIFS('Extração'!O:O,"Parcialmente",'Extração'!J:J,A795)/B795)</f>
        <v/>
      </c>
      <c r="G795" s="12" t="str">
        <f>IF(B795=0,"",COUNTIFS('Extração'!N:N,"Não",'Extração'!J:J,A795)/B795)</f>
        <v/>
      </c>
      <c r="H795" s="12" t="str">
        <f>IF(B795=0,"",COUNTIFS('Extração'!O:O,"Não",'Extração'!J:J,A795)/B795)</f>
        <v/>
      </c>
      <c r="I795" s="12" t="str">
        <f>IF(B795=0,"",COUNTIFS('Extração'!P:P,"Igual",'Extração'!J:J,A795)/B795)</f>
        <v/>
      </c>
    </row>
    <row r="796">
      <c r="B796" s="12">
        <f>COUNTIF('Extração'!J:J,A796)</f>
        <v>0</v>
      </c>
      <c r="C796" s="12" t="str">
        <f>IF(B796=0,"",COUNTIFS('Extração'!N:N,"Sim",'Extração'!J:J,A796)/B796)</f>
        <v/>
      </c>
      <c r="D796" s="12" t="str">
        <f>IF(B796=0,"",COUNTIFS('Extração'!O:O,"Sim",'Extração'!J:J,A796)/B796)</f>
        <v/>
      </c>
      <c r="E796" s="12" t="str">
        <f>IF(B796=0,"",COUNTIFS('Extração'!N:N,"Parcialmente",'Extração'!J:J,A796)/B796)</f>
        <v/>
      </c>
      <c r="F796" s="12" t="str">
        <f>IF(B796=0,"",COUNTIFS('Extração'!O:O,"Parcialmente",'Extração'!J:J,A796)/B796)</f>
        <v/>
      </c>
      <c r="G796" s="12" t="str">
        <f>IF(B796=0,"",COUNTIFS('Extração'!N:N,"Não",'Extração'!J:J,A796)/B796)</f>
        <v/>
      </c>
      <c r="H796" s="12" t="str">
        <f>IF(B796=0,"",COUNTIFS('Extração'!O:O,"Não",'Extração'!J:J,A796)/B796)</f>
        <v/>
      </c>
      <c r="I796" s="12" t="str">
        <f>IF(B796=0,"",COUNTIFS('Extração'!P:P,"Igual",'Extração'!J:J,A796)/B796)</f>
        <v/>
      </c>
    </row>
    <row r="797">
      <c r="B797" s="12">
        <f>COUNTIF('Extração'!J:J,A797)</f>
        <v>0</v>
      </c>
      <c r="C797" s="12" t="str">
        <f>IF(B797=0,"",COUNTIFS('Extração'!N:N,"Sim",'Extração'!J:J,A797)/B797)</f>
        <v/>
      </c>
      <c r="D797" s="12" t="str">
        <f>IF(B797=0,"",COUNTIFS('Extração'!O:O,"Sim",'Extração'!J:J,A797)/B797)</f>
        <v/>
      </c>
      <c r="E797" s="12" t="str">
        <f>IF(B797=0,"",COUNTIFS('Extração'!N:N,"Parcialmente",'Extração'!J:J,A797)/B797)</f>
        <v/>
      </c>
      <c r="F797" s="12" t="str">
        <f>IF(B797=0,"",COUNTIFS('Extração'!O:O,"Parcialmente",'Extração'!J:J,A797)/B797)</f>
        <v/>
      </c>
      <c r="G797" s="12" t="str">
        <f>IF(B797=0,"",COUNTIFS('Extração'!N:N,"Não",'Extração'!J:J,A797)/B797)</f>
        <v/>
      </c>
      <c r="H797" s="12" t="str">
        <f>IF(B797=0,"",COUNTIFS('Extração'!O:O,"Não",'Extração'!J:J,A797)/B797)</f>
        <v/>
      </c>
      <c r="I797" s="12" t="str">
        <f>IF(B797=0,"",COUNTIFS('Extração'!P:P,"Igual",'Extração'!J:J,A797)/B797)</f>
        <v/>
      </c>
    </row>
    <row r="798">
      <c r="B798" s="12">
        <f>COUNTIF('Extração'!J:J,A798)</f>
        <v>0</v>
      </c>
      <c r="C798" s="12" t="str">
        <f>IF(B798=0,"",COUNTIFS('Extração'!N:N,"Sim",'Extração'!J:J,A798)/B798)</f>
        <v/>
      </c>
      <c r="D798" s="12" t="str">
        <f>IF(B798=0,"",COUNTIFS('Extração'!O:O,"Sim",'Extração'!J:J,A798)/B798)</f>
        <v/>
      </c>
      <c r="E798" s="12" t="str">
        <f>IF(B798=0,"",COUNTIFS('Extração'!N:N,"Parcialmente",'Extração'!J:J,A798)/B798)</f>
        <v/>
      </c>
      <c r="F798" s="12" t="str">
        <f>IF(B798=0,"",COUNTIFS('Extração'!O:O,"Parcialmente",'Extração'!J:J,A798)/B798)</f>
        <v/>
      </c>
      <c r="G798" s="12" t="str">
        <f>IF(B798=0,"",COUNTIFS('Extração'!N:N,"Não",'Extração'!J:J,A798)/B798)</f>
        <v/>
      </c>
      <c r="H798" s="12" t="str">
        <f>IF(B798=0,"",COUNTIFS('Extração'!O:O,"Não",'Extração'!J:J,A798)/B798)</f>
        <v/>
      </c>
      <c r="I798" s="12" t="str">
        <f>IF(B798=0,"",COUNTIFS('Extração'!P:P,"Igual",'Extração'!J:J,A798)/B798)</f>
        <v/>
      </c>
    </row>
    <row r="799">
      <c r="B799" s="12">
        <f>COUNTIF('Extração'!J:J,A799)</f>
        <v>0</v>
      </c>
      <c r="C799" s="12" t="str">
        <f>IF(B799=0,"",COUNTIFS('Extração'!N:N,"Sim",'Extração'!J:J,A799)/B799)</f>
        <v/>
      </c>
      <c r="D799" s="12" t="str">
        <f>IF(B799=0,"",COUNTIFS('Extração'!O:O,"Sim",'Extração'!J:J,A799)/B799)</f>
        <v/>
      </c>
      <c r="E799" s="12" t="str">
        <f>IF(B799=0,"",COUNTIFS('Extração'!N:N,"Parcialmente",'Extração'!J:J,A799)/B799)</f>
        <v/>
      </c>
      <c r="F799" s="12" t="str">
        <f>IF(B799=0,"",COUNTIFS('Extração'!O:O,"Parcialmente",'Extração'!J:J,A799)/B799)</f>
        <v/>
      </c>
      <c r="G799" s="12" t="str">
        <f>IF(B799=0,"",COUNTIFS('Extração'!N:N,"Não",'Extração'!J:J,A799)/B799)</f>
        <v/>
      </c>
      <c r="H799" s="12" t="str">
        <f>IF(B799=0,"",COUNTIFS('Extração'!O:O,"Não",'Extração'!J:J,A799)/B799)</f>
        <v/>
      </c>
      <c r="I799" s="12" t="str">
        <f>IF(B799=0,"",COUNTIFS('Extração'!P:P,"Igual",'Extração'!J:J,A799)/B799)</f>
        <v/>
      </c>
    </row>
    <row r="800">
      <c r="B800" s="12">
        <f>COUNTIF('Extração'!J:J,A800)</f>
        <v>0</v>
      </c>
      <c r="C800" s="12" t="str">
        <f>IF(B800=0,"",COUNTIFS('Extração'!N:N,"Sim",'Extração'!J:J,A800)/B800)</f>
        <v/>
      </c>
      <c r="D800" s="12" t="str">
        <f>IF(B800=0,"",COUNTIFS('Extração'!O:O,"Sim",'Extração'!J:J,A800)/B800)</f>
        <v/>
      </c>
      <c r="E800" s="12" t="str">
        <f>IF(B800=0,"",COUNTIFS('Extração'!N:N,"Parcialmente",'Extração'!J:J,A800)/B800)</f>
        <v/>
      </c>
      <c r="F800" s="12" t="str">
        <f>IF(B800=0,"",COUNTIFS('Extração'!O:O,"Parcialmente",'Extração'!J:J,A800)/B800)</f>
        <v/>
      </c>
      <c r="G800" s="12" t="str">
        <f>IF(B800=0,"",COUNTIFS('Extração'!N:N,"Não",'Extração'!J:J,A800)/B800)</f>
        <v/>
      </c>
      <c r="H800" s="12" t="str">
        <f>IF(B800=0,"",COUNTIFS('Extração'!O:O,"Não",'Extração'!J:J,A800)/B800)</f>
        <v/>
      </c>
      <c r="I800" s="12" t="str">
        <f>IF(B800=0,"",COUNTIFS('Extração'!P:P,"Igual",'Extração'!J:J,A800)/B800)</f>
        <v/>
      </c>
    </row>
    <row r="801">
      <c r="B801" s="12">
        <f>COUNTIF('Extração'!J:J,A801)</f>
        <v>0</v>
      </c>
      <c r="C801" s="12" t="str">
        <f>IF(B801=0,"",COUNTIFS('Extração'!N:N,"Sim",'Extração'!J:J,A801)/B801)</f>
        <v/>
      </c>
      <c r="D801" s="12" t="str">
        <f>IF(B801=0,"",COUNTIFS('Extração'!O:O,"Sim",'Extração'!J:J,A801)/B801)</f>
        <v/>
      </c>
      <c r="E801" s="12" t="str">
        <f>IF(B801=0,"",COUNTIFS('Extração'!N:N,"Parcialmente",'Extração'!J:J,A801)/B801)</f>
        <v/>
      </c>
      <c r="F801" s="12" t="str">
        <f>IF(B801=0,"",COUNTIFS('Extração'!O:O,"Parcialmente",'Extração'!J:J,A801)/B801)</f>
        <v/>
      </c>
      <c r="G801" s="12" t="str">
        <f>IF(B801=0,"",COUNTIFS('Extração'!N:N,"Não",'Extração'!J:J,A801)/B801)</f>
        <v/>
      </c>
      <c r="H801" s="12" t="str">
        <f>IF(B801=0,"",COUNTIFS('Extração'!O:O,"Não",'Extração'!J:J,A801)/B801)</f>
        <v/>
      </c>
      <c r="I801" s="12" t="str">
        <f>IF(B801=0,"",COUNTIFS('Extração'!P:P,"Igual",'Extração'!J:J,A801)/B801)</f>
        <v/>
      </c>
    </row>
    <row r="802">
      <c r="B802" s="12">
        <f>COUNTIF('Extração'!J:J,A802)</f>
        <v>0</v>
      </c>
      <c r="C802" s="12" t="str">
        <f>IF(B802=0,"",COUNTIFS('Extração'!N:N,"Sim",'Extração'!J:J,A802)/B802)</f>
        <v/>
      </c>
      <c r="D802" s="12" t="str">
        <f>IF(B802=0,"",COUNTIFS('Extração'!O:O,"Sim",'Extração'!J:J,A802)/B802)</f>
        <v/>
      </c>
      <c r="E802" s="12" t="str">
        <f>IF(B802=0,"",COUNTIFS('Extração'!N:N,"Parcialmente",'Extração'!J:J,A802)/B802)</f>
        <v/>
      </c>
      <c r="F802" s="12" t="str">
        <f>IF(B802=0,"",COUNTIFS('Extração'!O:O,"Parcialmente",'Extração'!J:J,A802)/B802)</f>
        <v/>
      </c>
      <c r="G802" s="12" t="str">
        <f>IF(B802=0,"",COUNTIFS('Extração'!N:N,"Não",'Extração'!J:J,A802)/B802)</f>
        <v/>
      </c>
      <c r="H802" s="12" t="str">
        <f>IF(B802=0,"",COUNTIFS('Extração'!O:O,"Não",'Extração'!J:J,A802)/B802)</f>
        <v/>
      </c>
      <c r="I802" s="12" t="str">
        <f>IF(B802=0,"",COUNTIFS('Extração'!P:P,"Igual",'Extração'!J:J,A802)/B802)</f>
        <v/>
      </c>
    </row>
    <row r="803">
      <c r="B803" s="12">
        <f>COUNTIF('Extração'!J:J,A803)</f>
        <v>0</v>
      </c>
      <c r="C803" s="12" t="str">
        <f>IF(B803=0,"",COUNTIFS('Extração'!N:N,"Sim",'Extração'!J:J,A803)/B803)</f>
        <v/>
      </c>
      <c r="D803" s="12" t="str">
        <f>IF(B803=0,"",COUNTIFS('Extração'!O:O,"Sim",'Extração'!J:J,A803)/B803)</f>
        <v/>
      </c>
      <c r="E803" s="12" t="str">
        <f>IF(B803=0,"",COUNTIFS('Extração'!N:N,"Parcialmente",'Extração'!J:J,A803)/B803)</f>
        <v/>
      </c>
      <c r="F803" s="12" t="str">
        <f>IF(B803=0,"",COUNTIFS('Extração'!O:O,"Parcialmente",'Extração'!J:J,A803)/B803)</f>
        <v/>
      </c>
      <c r="G803" s="12" t="str">
        <f>IF(B803=0,"",COUNTIFS('Extração'!N:N,"Não",'Extração'!J:J,A803)/B803)</f>
        <v/>
      </c>
      <c r="H803" s="12" t="str">
        <f>IF(B803=0,"",COUNTIFS('Extração'!O:O,"Não",'Extração'!J:J,A803)/B803)</f>
        <v/>
      </c>
      <c r="I803" s="12" t="str">
        <f>IF(B803=0,"",COUNTIFS('Extração'!P:P,"Igual",'Extração'!J:J,A803)/B803)</f>
        <v/>
      </c>
    </row>
    <row r="804">
      <c r="B804" s="12">
        <f>COUNTIF('Extração'!J:J,A804)</f>
        <v>0</v>
      </c>
      <c r="C804" s="12" t="str">
        <f>IF(B804=0,"",COUNTIFS('Extração'!N:N,"Sim",'Extração'!J:J,A804)/B804)</f>
        <v/>
      </c>
      <c r="D804" s="12" t="str">
        <f>IF(B804=0,"",COUNTIFS('Extração'!O:O,"Sim",'Extração'!J:J,A804)/B804)</f>
        <v/>
      </c>
      <c r="E804" s="12" t="str">
        <f>IF(B804=0,"",COUNTIFS('Extração'!N:N,"Parcialmente",'Extração'!J:J,A804)/B804)</f>
        <v/>
      </c>
      <c r="F804" s="12" t="str">
        <f>IF(B804=0,"",COUNTIFS('Extração'!O:O,"Parcialmente",'Extração'!J:J,A804)/B804)</f>
        <v/>
      </c>
      <c r="G804" s="12" t="str">
        <f>IF(B804=0,"",COUNTIFS('Extração'!N:N,"Não",'Extração'!J:J,A804)/B804)</f>
        <v/>
      </c>
      <c r="H804" s="12" t="str">
        <f>IF(B804=0,"",COUNTIFS('Extração'!O:O,"Não",'Extração'!J:J,A804)/B804)</f>
        <v/>
      </c>
      <c r="I804" s="12" t="str">
        <f>IF(B804=0,"",COUNTIFS('Extração'!P:P,"Igual",'Extração'!J:J,A804)/B804)</f>
        <v/>
      </c>
    </row>
    <row r="805">
      <c r="B805" s="12">
        <f>COUNTIF('Extração'!J:J,A805)</f>
        <v>0</v>
      </c>
      <c r="C805" s="12" t="str">
        <f>IF(B805=0,"",COUNTIFS('Extração'!N:N,"Sim",'Extração'!J:J,A805)/B805)</f>
        <v/>
      </c>
      <c r="D805" s="12" t="str">
        <f>IF(B805=0,"",COUNTIFS('Extração'!O:O,"Sim",'Extração'!J:J,A805)/B805)</f>
        <v/>
      </c>
      <c r="E805" s="12" t="str">
        <f>IF(B805=0,"",COUNTIFS('Extração'!N:N,"Parcialmente",'Extração'!J:J,A805)/B805)</f>
        <v/>
      </c>
      <c r="F805" s="12" t="str">
        <f>IF(B805=0,"",COUNTIFS('Extração'!O:O,"Parcialmente",'Extração'!J:J,A805)/B805)</f>
        <v/>
      </c>
      <c r="G805" s="12" t="str">
        <f>IF(B805=0,"",COUNTIFS('Extração'!N:N,"Não",'Extração'!J:J,A805)/B805)</f>
        <v/>
      </c>
      <c r="H805" s="12" t="str">
        <f>IF(B805=0,"",COUNTIFS('Extração'!O:O,"Não",'Extração'!J:J,A805)/B805)</f>
        <v/>
      </c>
      <c r="I805" s="12" t="str">
        <f>IF(B805=0,"",COUNTIFS('Extração'!P:P,"Igual",'Extração'!J:J,A805)/B805)</f>
        <v/>
      </c>
    </row>
    <row r="806">
      <c r="B806" s="12">
        <f>COUNTIF('Extração'!J:J,A806)</f>
        <v>0</v>
      </c>
      <c r="C806" s="12" t="str">
        <f>IF(B806=0,"",COUNTIFS('Extração'!N:N,"Sim",'Extração'!J:J,A806)/B806)</f>
        <v/>
      </c>
      <c r="D806" s="12" t="str">
        <f>IF(B806=0,"",COUNTIFS('Extração'!O:O,"Sim",'Extração'!J:J,A806)/B806)</f>
        <v/>
      </c>
      <c r="E806" s="12" t="str">
        <f>IF(B806=0,"",COUNTIFS('Extração'!N:N,"Parcialmente",'Extração'!J:J,A806)/B806)</f>
        <v/>
      </c>
      <c r="F806" s="12" t="str">
        <f>IF(B806=0,"",COUNTIFS('Extração'!O:O,"Parcialmente",'Extração'!J:J,A806)/B806)</f>
        <v/>
      </c>
      <c r="G806" s="12" t="str">
        <f>IF(B806=0,"",COUNTIFS('Extração'!N:N,"Não",'Extração'!J:J,A806)/B806)</f>
        <v/>
      </c>
      <c r="H806" s="12" t="str">
        <f>IF(B806=0,"",COUNTIFS('Extração'!O:O,"Não",'Extração'!J:J,A806)/B806)</f>
        <v/>
      </c>
      <c r="I806" s="12" t="str">
        <f>IF(B806=0,"",COUNTIFS('Extração'!P:P,"Igual",'Extração'!J:J,A806)/B806)</f>
        <v/>
      </c>
    </row>
    <row r="807">
      <c r="B807" s="12">
        <f>COUNTIF('Extração'!J:J,A807)</f>
        <v>0</v>
      </c>
      <c r="C807" s="12" t="str">
        <f>IF(B807=0,"",COUNTIFS('Extração'!N:N,"Sim",'Extração'!J:J,A807)/B807)</f>
        <v/>
      </c>
      <c r="D807" s="12" t="str">
        <f>IF(B807=0,"",COUNTIFS('Extração'!O:O,"Sim",'Extração'!J:J,A807)/B807)</f>
        <v/>
      </c>
      <c r="E807" s="12" t="str">
        <f>IF(B807=0,"",COUNTIFS('Extração'!N:N,"Parcialmente",'Extração'!J:J,A807)/B807)</f>
        <v/>
      </c>
      <c r="F807" s="12" t="str">
        <f>IF(B807=0,"",COUNTIFS('Extração'!O:O,"Parcialmente",'Extração'!J:J,A807)/B807)</f>
        <v/>
      </c>
      <c r="G807" s="12" t="str">
        <f>IF(B807=0,"",COUNTIFS('Extração'!N:N,"Não",'Extração'!J:J,A807)/B807)</f>
        <v/>
      </c>
      <c r="H807" s="12" t="str">
        <f>IF(B807=0,"",COUNTIFS('Extração'!O:O,"Não",'Extração'!J:J,A807)/B807)</f>
        <v/>
      </c>
      <c r="I807" s="12" t="str">
        <f>IF(B807=0,"",COUNTIFS('Extração'!P:P,"Igual",'Extração'!J:J,A807)/B807)</f>
        <v/>
      </c>
    </row>
    <row r="808">
      <c r="B808" s="12">
        <f>COUNTIF('Extração'!J:J,A808)</f>
        <v>0</v>
      </c>
      <c r="C808" s="12" t="str">
        <f>IF(B808=0,"",COUNTIFS('Extração'!N:N,"Sim",'Extração'!J:J,A808)/B808)</f>
        <v/>
      </c>
      <c r="D808" s="12" t="str">
        <f>IF(B808=0,"",COUNTIFS('Extração'!O:O,"Sim",'Extração'!J:J,A808)/B808)</f>
        <v/>
      </c>
      <c r="E808" s="12" t="str">
        <f>IF(B808=0,"",COUNTIFS('Extração'!N:N,"Parcialmente",'Extração'!J:J,A808)/B808)</f>
        <v/>
      </c>
      <c r="F808" s="12" t="str">
        <f>IF(B808=0,"",COUNTIFS('Extração'!O:O,"Parcialmente",'Extração'!J:J,A808)/B808)</f>
        <v/>
      </c>
      <c r="G808" s="12" t="str">
        <f>IF(B808=0,"",COUNTIFS('Extração'!N:N,"Não",'Extração'!J:J,A808)/B808)</f>
        <v/>
      </c>
      <c r="H808" s="12" t="str">
        <f>IF(B808=0,"",COUNTIFS('Extração'!O:O,"Não",'Extração'!J:J,A808)/B808)</f>
        <v/>
      </c>
      <c r="I808" s="12" t="str">
        <f>IF(B808=0,"",COUNTIFS('Extração'!P:P,"Igual",'Extração'!J:J,A808)/B808)</f>
        <v/>
      </c>
    </row>
    <row r="809">
      <c r="B809" s="12">
        <f>COUNTIF('Extração'!J:J,A809)</f>
        <v>0</v>
      </c>
      <c r="C809" s="12" t="str">
        <f>IF(B809=0,"",COUNTIFS('Extração'!N:N,"Sim",'Extração'!J:J,A809)/B809)</f>
        <v/>
      </c>
      <c r="D809" s="12" t="str">
        <f>IF(B809=0,"",COUNTIFS('Extração'!O:O,"Sim",'Extração'!J:J,A809)/B809)</f>
        <v/>
      </c>
      <c r="E809" s="12" t="str">
        <f>IF(B809=0,"",COUNTIFS('Extração'!N:N,"Parcialmente",'Extração'!J:J,A809)/B809)</f>
        <v/>
      </c>
      <c r="F809" s="12" t="str">
        <f>IF(B809=0,"",COUNTIFS('Extração'!O:O,"Parcialmente",'Extração'!J:J,A809)/B809)</f>
        <v/>
      </c>
      <c r="G809" s="12" t="str">
        <f>IF(B809=0,"",COUNTIFS('Extração'!N:N,"Não",'Extração'!J:J,A809)/B809)</f>
        <v/>
      </c>
      <c r="H809" s="12" t="str">
        <f>IF(B809=0,"",COUNTIFS('Extração'!O:O,"Não",'Extração'!J:J,A809)/B809)</f>
        <v/>
      </c>
      <c r="I809" s="12" t="str">
        <f>IF(B809=0,"",COUNTIFS('Extração'!P:P,"Igual",'Extração'!J:J,A809)/B809)</f>
        <v/>
      </c>
    </row>
    <row r="810">
      <c r="B810" s="12">
        <f>COUNTIF('Extração'!J:J,A810)</f>
        <v>0</v>
      </c>
      <c r="C810" s="12" t="str">
        <f>IF(B810=0,"",COUNTIFS('Extração'!N:N,"Sim",'Extração'!J:J,A810)/B810)</f>
        <v/>
      </c>
      <c r="D810" s="12" t="str">
        <f>IF(B810=0,"",COUNTIFS('Extração'!O:O,"Sim",'Extração'!J:J,A810)/B810)</f>
        <v/>
      </c>
      <c r="E810" s="12" t="str">
        <f>IF(B810=0,"",COUNTIFS('Extração'!N:N,"Parcialmente",'Extração'!J:J,A810)/B810)</f>
        <v/>
      </c>
      <c r="F810" s="12" t="str">
        <f>IF(B810=0,"",COUNTIFS('Extração'!O:O,"Parcialmente",'Extração'!J:J,A810)/B810)</f>
        <v/>
      </c>
      <c r="G810" s="12" t="str">
        <f>IF(B810=0,"",COUNTIFS('Extração'!N:N,"Não",'Extração'!J:J,A810)/B810)</f>
        <v/>
      </c>
      <c r="H810" s="12" t="str">
        <f>IF(B810=0,"",COUNTIFS('Extração'!O:O,"Não",'Extração'!J:J,A810)/B810)</f>
        <v/>
      </c>
      <c r="I810" s="12" t="str">
        <f>IF(B810=0,"",COUNTIFS('Extração'!P:P,"Igual",'Extração'!J:J,A810)/B810)</f>
        <v/>
      </c>
    </row>
    <row r="811">
      <c r="B811" s="12">
        <f>COUNTIF('Extração'!J:J,A811)</f>
        <v>0</v>
      </c>
      <c r="C811" s="12" t="str">
        <f>IF(B811=0,"",COUNTIFS('Extração'!N:N,"Sim",'Extração'!J:J,A811)/B811)</f>
        <v/>
      </c>
      <c r="D811" s="12" t="str">
        <f>IF(B811=0,"",COUNTIFS('Extração'!O:O,"Sim",'Extração'!J:J,A811)/B811)</f>
        <v/>
      </c>
      <c r="E811" s="12" t="str">
        <f>IF(B811=0,"",COUNTIFS('Extração'!N:N,"Parcialmente",'Extração'!J:J,A811)/B811)</f>
        <v/>
      </c>
      <c r="F811" s="12" t="str">
        <f>IF(B811=0,"",COUNTIFS('Extração'!O:O,"Parcialmente",'Extração'!J:J,A811)/B811)</f>
        <v/>
      </c>
      <c r="G811" s="12" t="str">
        <f>IF(B811=0,"",COUNTIFS('Extração'!N:N,"Não",'Extração'!J:J,A811)/B811)</f>
        <v/>
      </c>
      <c r="H811" s="12" t="str">
        <f>IF(B811=0,"",COUNTIFS('Extração'!O:O,"Não",'Extração'!J:J,A811)/B811)</f>
        <v/>
      </c>
      <c r="I811" s="12" t="str">
        <f>IF(B811=0,"",COUNTIFS('Extração'!P:P,"Igual",'Extração'!J:J,A811)/B811)</f>
        <v/>
      </c>
    </row>
    <row r="812">
      <c r="B812" s="12">
        <f>COUNTIF('Extração'!J:J,A812)</f>
        <v>0</v>
      </c>
      <c r="C812" s="12" t="str">
        <f>IF(B812=0,"",COUNTIFS('Extração'!N:N,"Sim",'Extração'!J:J,A812)/B812)</f>
        <v/>
      </c>
      <c r="D812" s="12" t="str">
        <f>IF(B812=0,"",COUNTIFS('Extração'!O:O,"Sim",'Extração'!J:J,A812)/B812)</f>
        <v/>
      </c>
      <c r="E812" s="12" t="str">
        <f>IF(B812=0,"",COUNTIFS('Extração'!N:N,"Parcialmente",'Extração'!J:J,A812)/B812)</f>
        <v/>
      </c>
      <c r="F812" s="12" t="str">
        <f>IF(B812=0,"",COUNTIFS('Extração'!O:O,"Parcialmente",'Extração'!J:J,A812)/B812)</f>
        <v/>
      </c>
      <c r="G812" s="12" t="str">
        <f>IF(B812=0,"",COUNTIFS('Extração'!N:N,"Não",'Extração'!J:J,A812)/B812)</f>
        <v/>
      </c>
      <c r="H812" s="12" t="str">
        <f>IF(B812=0,"",COUNTIFS('Extração'!O:O,"Não",'Extração'!J:J,A812)/B812)</f>
        <v/>
      </c>
      <c r="I812" s="12" t="str">
        <f>IF(B812=0,"",COUNTIFS('Extração'!P:P,"Igual",'Extração'!J:J,A812)/B812)</f>
        <v/>
      </c>
    </row>
    <row r="813">
      <c r="B813" s="12">
        <f>COUNTIF('Extração'!J:J,A813)</f>
        <v>0</v>
      </c>
      <c r="C813" s="12" t="str">
        <f>IF(B813=0,"",COUNTIFS('Extração'!N:N,"Sim",'Extração'!J:J,A813)/B813)</f>
        <v/>
      </c>
      <c r="D813" s="12" t="str">
        <f>IF(B813=0,"",COUNTIFS('Extração'!O:O,"Sim",'Extração'!J:J,A813)/B813)</f>
        <v/>
      </c>
      <c r="E813" s="12" t="str">
        <f>IF(B813=0,"",COUNTIFS('Extração'!N:N,"Parcialmente",'Extração'!J:J,A813)/B813)</f>
        <v/>
      </c>
      <c r="F813" s="12" t="str">
        <f>IF(B813=0,"",COUNTIFS('Extração'!O:O,"Parcialmente",'Extração'!J:J,A813)/B813)</f>
        <v/>
      </c>
      <c r="G813" s="12" t="str">
        <f>IF(B813=0,"",COUNTIFS('Extração'!N:N,"Não",'Extração'!J:J,A813)/B813)</f>
        <v/>
      </c>
      <c r="H813" s="12" t="str">
        <f>IF(B813=0,"",COUNTIFS('Extração'!O:O,"Não",'Extração'!J:J,A813)/B813)</f>
        <v/>
      </c>
      <c r="I813" s="12" t="str">
        <f>IF(B813=0,"",COUNTIFS('Extração'!P:P,"Igual",'Extração'!J:J,A813)/B813)</f>
        <v/>
      </c>
    </row>
    <row r="814">
      <c r="B814" s="12">
        <f>COUNTIF('Extração'!J:J,A814)</f>
        <v>0</v>
      </c>
      <c r="C814" s="12" t="str">
        <f>IF(B814=0,"",COUNTIFS('Extração'!N:N,"Sim",'Extração'!J:J,A814)/B814)</f>
        <v/>
      </c>
      <c r="D814" s="12" t="str">
        <f>IF(B814=0,"",COUNTIFS('Extração'!O:O,"Sim",'Extração'!J:J,A814)/B814)</f>
        <v/>
      </c>
      <c r="E814" s="12" t="str">
        <f>IF(B814=0,"",COUNTIFS('Extração'!N:N,"Parcialmente",'Extração'!J:J,A814)/B814)</f>
        <v/>
      </c>
      <c r="F814" s="12" t="str">
        <f>IF(B814=0,"",COUNTIFS('Extração'!O:O,"Parcialmente",'Extração'!J:J,A814)/B814)</f>
        <v/>
      </c>
      <c r="G814" s="12" t="str">
        <f>IF(B814=0,"",COUNTIFS('Extração'!N:N,"Não",'Extração'!J:J,A814)/B814)</f>
        <v/>
      </c>
      <c r="H814" s="12" t="str">
        <f>IF(B814=0,"",COUNTIFS('Extração'!O:O,"Não",'Extração'!J:J,A814)/B814)</f>
        <v/>
      </c>
      <c r="I814" s="12" t="str">
        <f>IF(B814=0,"",COUNTIFS('Extração'!P:P,"Igual",'Extração'!J:J,A814)/B814)</f>
        <v/>
      </c>
    </row>
    <row r="815">
      <c r="B815" s="12">
        <f>COUNTIF('Extração'!J:J,A815)</f>
        <v>0</v>
      </c>
      <c r="C815" s="12" t="str">
        <f>IF(B815=0,"",COUNTIFS('Extração'!N:N,"Sim",'Extração'!J:J,A815)/B815)</f>
        <v/>
      </c>
      <c r="D815" s="12" t="str">
        <f>IF(B815=0,"",COUNTIFS('Extração'!O:O,"Sim",'Extração'!J:J,A815)/B815)</f>
        <v/>
      </c>
      <c r="E815" s="12" t="str">
        <f>IF(B815=0,"",COUNTIFS('Extração'!N:N,"Parcialmente",'Extração'!J:J,A815)/B815)</f>
        <v/>
      </c>
      <c r="F815" s="12" t="str">
        <f>IF(B815=0,"",COUNTIFS('Extração'!O:O,"Parcialmente",'Extração'!J:J,A815)/B815)</f>
        <v/>
      </c>
      <c r="G815" s="12" t="str">
        <f>IF(B815=0,"",COUNTIFS('Extração'!N:N,"Não",'Extração'!J:J,A815)/B815)</f>
        <v/>
      </c>
      <c r="H815" s="12" t="str">
        <f>IF(B815=0,"",COUNTIFS('Extração'!O:O,"Não",'Extração'!J:J,A815)/B815)</f>
        <v/>
      </c>
      <c r="I815" s="12" t="str">
        <f>IF(B815=0,"",COUNTIFS('Extração'!P:P,"Igual",'Extração'!J:J,A815)/B815)</f>
        <v/>
      </c>
    </row>
    <row r="816">
      <c r="B816" s="12">
        <f>COUNTIF('Extração'!J:J,A816)</f>
        <v>0</v>
      </c>
      <c r="C816" s="12" t="str">
        <f>IF(B816=0,"",COUNTIFS('Extração'!N:N,"Sim",'Extração'!J:J,A816)/B816)</f>
        <v/>
      </c>
      <c r="D816" s="12" t="str">
        <f>IF(B816=0,"",COUNTIFS('Extração'!O:O,"Sim",'Extração'!J:J,A816)/B816)</f>
        <v/>
      </c>
      <c r="E816" s="12" t="str">
        <f>IF(B816=0,"",COUNTIFS('Extração'!N:N,"Parcialmente",'Extração'!J:J,A816)/B816)</f>
        <v/>
      </c>
      <c r="F816" s="12" t="str">
        <f>IF(B816=0,"",COUNTIFS('Extração'!O:O,"Parcialmente",'Extração'!J:J,A816)/B816)</f>
        <v/>
      </c>
      <c r="G816" s="12" t="str">
        <f>IF(B816=0,"",COUNTIFS('Extração'!N:N,"Não",'Extração'!J:J,A816)/B816)</f>
        <v/>
      </c>
      <c r="H816" s="12" t="str">
        <f>IF(B816=0,"",COUNTIFS('Extração'!O:O,"Não",'Extração'!J:J,A816)/B816)</f>
        <v/>
      </c>
      <c r="I816" s="12" t="str">
        <f>IF(B816=0,"",COUNTIFS('Extração'!P:P,"Igual",'Extração'!J:J,A816)/B816)</f>
        <v/>
      </c>
    </row>
    <row r="817">
      <c r="B817" s="12">
        <f>COUNTIF('Extração'!J:J,A817)</f>
        <v>0</v>
      </c>
      <c r="C817" s="12" t="str">
        <f>IF(B817=0,"",COUNTIFS('Extração'!N:N,"Sim",'Extração'!J:J,A817)/B817)</f>
        <v/>
      </c>
      <c r="D817" s="12" t="str">
        <f>IF(B817=0,"",COUNTIFS('Extração'!O:O,"Sim",'Extração'!J:J,A817)/B817)</f>
        <v/>
      </c>
      <c r="E817" s="12" t="str">
        <f>IF(B817=0,"",COUNTIFS('Extração'!N:N,"Parcialmente",'Extração'!J:J,A817)/B817)</f>
        <v/>
      </c>
      <c r="F817" s="12" t="str">
        <f>IF(B817=0,"",COUNTIFS('Extração'!O:O,"Parcialmente",'Extração'!J:J,A817)/B817)</f>
        <v/>
      </c>
      <c r="G817" s="12" t="str">
        <f>IF(B817=0,"",COUNTIFS('Extração'!N:N,"Não",'Extração'!J:J,A817)/B817)</f>
        <v/>
      </c>
      <c r="H817" s="12" t="str">
        <f>IF(B817=0,"",COUNTIFS('Extração'!O:O,"Não",'Extração'!J:J,A817)/B817)</f>
        <v/>
      </c>
      <c r="I817" s="12" t="str">
        <f>IF(B817=0,"",COUNTIFS('Extração'!P:P,"Igual",'Extração'!J:J,A817)/B817)</f>
        <v/>
      </c>
    </row>
    <row r="818">
      <c r="B818" s="12">
        <f>COUNTIF('Extração'!J:J,A818)</f>
        <v>0</v>
      </c>
      <c r="C818" s="12" t="str">
        <f>IF(B818=0,"",COUNTIFS('Extração'!N:N,"Sim",'Extração'!J:J,A818)/B818)</f>
        <v/>
      </c>
      <c r="D818" s="12" t="str">
        <f>IF(B818=0,"",COUNTIFS('Extração'!O:O,"Sim",'Extração'!J:J,A818)/B818)</f>
        <v/>
      </c>
      <c r="E818" s="12" t="str">
        <f>IF(B818=0,"",COUNTIFS('Extração'!N:N,"Parcialmente",'Extração'!J:J,A818)/B818)</f>
        <v/>
      </c>
      <c r="F818" s="12" t="str">
        <f>IF(B818=0,"",COUNTIFS('Extração'!O:O,"Parcialmente",'Extração'!J:J,A818)/B818)</f>
        <v/>
      </c>
      <c r="G818" s="12" t="str">
        <f>IF(B818=0,"",COUNTIFS('Extração'!N:N,"Não",'Extração'!J:J,A818)/B818)</f>
        <v/>
      </c>
      <c r="H818" s="12" t="str">
        <f>IF(B818=0,"",COUNTIFS('Extração'!O:O,"Não",'Extração'!J:J,A818)/B818)</f>
        <v/>
      </c>
      <c r="I818" s="12" t="str">
        <f>IF(B818=0,"",COUNTIFS('Extração'!P:P,"Igual",'Extração'!J:J,A818)/B818)</f>
        <v/>
      </c>
    </row>
    <row r="819">
      <c r="B819" s="12">
        <f>COUNTIF('Extração'!J:J,A819)</f>
        <v>0</v>
      </c>
      <c r="C819" s="12" t="str">
        <f>IF(B819=0,"",COUNTIFS('Extração'!N:N,"Sim",'Extração'!J:J,A819)/B819)</f>
        <v/>
      </c>
      <c r="D819" s="12" t="str">
        <f>IF(B819=0,"",COUNTIFS('Extração'!O:O,"Sim",'Extração'!J:J,A819)/B819)</f>
        <v/>
      </c>
      <c r="E819" s="12" t="str">
        <f>IF(B819=0,"",COUNTIFS('Extração'!N:N,"Parcialmente",'Extração'!J:J,A819)/B819)</f>
        <v/>
      </c>
      <c r="F819" s="12" t="str">
        <f>IF(B819=0,"",COUNTIFS('Extração'!O:O,"Parcialmente",'Extração'!J:J,A819)/B819)</f>
        <v/>
      </c>
      <c r="G819" s="12" t="str">
        <f>IF(B819=0,"",COUNTIFS('Extração'!N:N,"Não",'Extração'!J:J,A819)/B819)</f>
        <v/>
      </c>
      <c r="H819" s="12" t="str">
        <f>IF(B819=0,"",COUNTIFS('Extração'!O:O,"Não",'Extração'!J:J,A819)/B819)</f>
        <v/>
      </c>
      <c r="I819" s="12" t="str">
        <f>IF(B819=0,"",COUNTIFS('Extração'!P:P,"Igual",'Extração'!J:J,A819)/B819)</f>
        <v/>
      </c>
    </row>
    <row r="820">
      <c r="B820" s="12">
        <f>COUNTIF('Extração'!J:J,A820)</f>
        <v>0</v>
      </c>
      <c r="C820" s="12" t="str">
        <f>IF(B820=0,"",COUNTIFS('Extração'!N:N,"Sim",'Extração'!J:J,A820)/B820)</f>
        <v/>
      </c>
      <c r="D820" s="12" t="str">
        <f>IF(B820=0,"",COUNTIFS('Extração'!O:O,"Sim",'Extração'!J:J,A820)/B820)</f>
        <v/>
      </c>
      <c r="E820" s="12" t="str">
        <f>IF(B820=0,"",COUNTIFS('Extração'!N:N,"Parcialmente",'Extração'!J:J,A820)/B820)</f>
        <v/>
      </c>
      <c r="F820" s="12" t="str">
        <f>IF(B820=0,"",COUNTIFS('Extração'!O:O,"Parcialmente",'Extração'!J:J,A820)/B820)</f>
        <v/>
      </c>
      <c r="G820" s="12" t="str">
        <f>IF(B820=0,"",COUNTIFS('Extração'!N:N,"Não",'Extração'!J:J,A820)/B820)</f>
        <v/>
      </c>
      <c r="H820" s="12" t="str">
        <f>IF(B820=0,"",COUNTIFS('Extração'!O:O,"Não",'Extração'!J:J,A820)/B820)</f>
        <v/>
      </c>
      <c r="I820" s="12" t="str">
        <f>IF(B820=0,"",COUNTIFS('Extração'!P:P,"Igual",'Extração'!J:J,A820)/B820)</f>
        <v/>
      </c>
    </row>
    <row r="821">
      <c r="B821" s="12">
        <f>COUNTIF('Extração'!J:J,A821)</f>
        <v>0</v>
      </c>
      <c r="C821" s="12" t="str">
        <f>IF(B821=0,"",COUNTIFS('Extração'!N:N,"Sim",'Extração'!J:J,A821)/B821)</f>
        <v/>
      </c>
      <c r="D821" s="12" t="str">
        <f>IF(B821=0,"",COUNTIFS('Extração'!O:O,"Sim",'Extração'!J:J,A821)/B821)</f>
        <v/>
      </c>
      <c r="E821" s="12" t="str">
        <f>IF(B821=0,"",COUNTIFS('Extração'!N:N,"Parcialmente",'Extração'!J:J,A821)/B821)</f>
        <v/>
      </c>
      <c r="F821" s="12" t="str">
        <f>IF(B821=0,"",COUNTIFS('Extração'!O:O,"Parcialmente",'Extração'!J:J,A821)/B821)</f>
        <v/>
      </c>
      <c r="G821" s="12" t="str">
        <f>IF(B821=0,"",COUNTIFS('Extração'!N:N,"Não",'Extração'!J:J,A821)/B821)</f>
        <v/>
      </c>
      <c r="H821" s="12" t="str">
        <f>IF(B821=0,"",COUNTIFS('Extração'!O:O,"Não",'Extração'!J:J,A821)/B821)</f>
        <v/>
      </c>
      <c r="I821" s="12" t="str">
        <f>IF(B821=0,"",COUNTIFS('Extração'!P:P,"Igual",'Extração'!J:J,A821)/B821)</f>
        <v/>
      </c>
    </row>
    <row r="822">
      <c r="B822" s="12">
        <f>COUNTIF('Extração'!J:J,A822)</f>
        <v>0</v>
      </c>
      <c r="C822" s="12" t="str">
        <f>IF(B822=0,"",COUNTIFS('Extração'!N:N,"Sim",'Extração'!J:J,A822)/B822)</f>
        <v/>
      </c>
      <c r="D822" s="12" t="str">
        <f>IF(B822=0,"",COUNTIFS('Extração'!O:O,"Sim",'Extração'!J:J,A822)/B822)</f>
        <v/>
      </c>
      <c r="E822" s="12" t="str">
        <f>IF(B822=0,"",COUNTIFS('Extração'!N:N,"Parcialmente",'Extração'!J:J,A822)/B822)</f>
        <v/>
      </c>
      <c r="F822" s="12" t="str">
        <f>IF(B822=0,"",COUNTIFS('Extração'!O:O,"Parcialmente",'Extração'!J:J,A822)/B822)</f>
        <v/>
      </c>
      <c r="G822" s="12" t="str">
        <f>IF(B822=0,"",COUNTIFS('Extração'!N:N,"Não",'Extração'!J:J,A822)/B822)</f>
        <v/>
      </c>
      <c r="H822" s="12" t="str">
        <f>IF(B822=0,"",COUNTIFS('Extração'!O:O,"Não",'Extração'!J:J,A822)/B822)</f>
        <v/>
      </c>
      <c r="I822" s="12" t="str">
        <f>IF(B822=0,"",COUNTIFS('Extração'!P:P,"Igual",'Extração'!J:J,A822)/B822)</f>
        <v/>
      </c>
    </row>
    <row r="823">
      <c r="B823" s="12">
        <f>COUNTIF('Extração'!J:J,A823)</f>
        <v>0</v>
      </c>
      <c r="C823" s="12" t="str">
        <f>IF(B823=0,"",COUNTIFS('Extração'!N:N,"Sim",'Extração'!J:J,A823)/B823)</f>
        <v/>
      </c>
      <c r="D823" s="12" t="str">
        <f>IF(B823=0,"",COUNTIFS('Extração'!O:O,"Sim",'Extração'!J:J,A823)/B823)</f>
        <v/>
      </c>
      <c r="E823" s="12" t="str">
        <f>IF(B823=0,"",COUNTIFS('Extração'!N:N,"Parcialmente",'Extração'!J:J,A823)/B823)</f>
        <v/>
      </c>
      <c r="F823" s="12" t="str">
        <f>IF(B823=0,"",COUNTIFS('Extração'!O:O,"Parcialmente",'Extração'!J:J,A823)/B823)</f>
        <v/>
      </c>
      <c r="G823" s="12" t="str">
        <f>IF(B823=0,"",COUNTIFS('Extração'!N:N,"Não",'Extração'!J:J,A823)/B823)</f>
        <v/>
      </c>
      <c r="H823" s="12" t="str">
        <f>IF(B823=0,"",COUNTIFS('Extração'!O:O,"Não",'Extração'!J:J,A823)/B823)</f>
        <v/>
      </c>
      <c r="I823" s="12" t="str">
        <f>IF(B823=0,"",COUNTIFS('Extração'!P:P,"Igual",'Extração'!J:J,A823)/B823)</f>
        <v/>
      </c>
    </row>
    <row r="824">
      <c r="B824" s="12">
        <f>COUNTIF('Extração'!J:J,A824)</f>
        <v>0</v>
      </c>
      <c r="C824" s="12" t="str">
        <f>IF(B824=0,"",COUNTIFS('Extração'!N:N,"Sim",'Extração'!J:J,A824)/B824)</f>
        <v/>
      </c>
      <c r="D824" s="12" t="str">
        <f>IF(B824=0,"",COUNTIFS('Extração'!O:O,"Sim",'Extração'!J:J,A824)/B824)</f>
        <v/>
      </c>
      <c r="E824" s="12" t="str">
        <f>IF(B824=0,"",COUNTIFS('Extração'!N:N,"Parcialmente",'Extração'!J:J,A824)/B824)</f>
        <v/>
      </c>
      <c r="F824" s="12" t="str">
        <f>IF(B824=0,"",COUNTIFS('Extração'!O:O,"Parcialmente",'Extração'!J:J,A824)/B824)</f>
        <v/>
      </c>
      <c r="G824" s="12" t="str">
        <f>IF(B824=0,"",COUNTIFS('Extração'!N:N,"Não",'Extração'!J:J,A824)/B824)</f>
        <v/>
      </c>
      <c r="H824" s="12" t="str">
        <f>IF(B824=0,"",COUNTIFS('Extração'!O:O,"Não",'Extração'!J:J,A824)/B824)</f>
        <v/>
      </c>
      <c r="I824" s="12" t="str">
        <f>IF(B824=0,"",COUNTIFS('Extração'!P:P,"Igual",'Extração'!J:J,A824)/B824)</f>
        <v/>
      </c>
    </row>
    <row r="825">
      <c r="B825" s="12">
        <f>COUNTIF('Extração'!J:J,A825)</f>
        <v>0</v>
      </c>
      <c r="C825" s="12" t="str">
        <f>IF(B825=0,"",COUNTIFS('Extração'!N:N,"Sim",'Extração'!J:J,A825)/B825)</f>
        <v/>
      </c>
      <c r="D825" s="12" t="str">
        <f>IF(B825=0,"",COUNTIFS('Extração'!O:O,"Sim",'Extração'!J:J,A825)/B825)</f>
        <v/>
      </c>
      <c r="E825" s="12" t="str">
        <f>IF(B825=0,"",COUNTIFS('Extração'!N:N,"Parcialmente",'Extração'!J:J,A825)/B825)</f>
        <v/>
      </c>
      <c r="F825" s="12" t="str">
        <f>IF(B825=0,"",COUNTIFS('Extração'!O:O,"Parcialmente",'Extração'!J:J,A825)/B825)</f>
        <v/>
      </c>
      <c r="G825" s="12" t="str">
        <f>IF(B825=0,"",COUNTIFS('Extração'!N:N,"Não",'Extração'!J:J,A825)/B825)</f>
        <v/>
      </c>
      <c r="H825" s="12" t="str">
        <f>IF(B825=0,"",COUNTIFS('Extração'!O:O,"Não",'Extração'!J:J,A825)/B825)</f>
        <v/>
      </c>
      <c r="I825" s="12" t="str">
        <f>IF(B825=0,"",COUNTIFS('Extração'!P:P,"Igual",'Extração'!J:J,A825)/B825)</f>
        <v/>
      </c>
    </row>
    <row r="826">
      <c r="B826" s="12">
        <f>COUNTIF('Extração'!J:J,A826)</f>
        <v>0</v>
      </c>
      <c r="C826" s="12" t="str">
        <f>IF(B826=0,"",COUNTIFS('Extração'!N:N,"Sim",'Extração'!J:J,A826)/B826)</f>
        <v/>
      </c>
      <c r="D826" s="12" t="str">
        <f>IF(B826=0,"",COUNTIFS('Extração'!O:O,"Sim",'Extração'!J:J,A826)/B826)</f>
        <v/>
      </c>
      <c r="E826" s="12" t="str">
        <f>IF(B826=0,"",COUNTIFS('Extração'!N:N,"Parcialmente",'Extração'!J:J,A826)/B826)</f>
        <v/>
      </c>
      <c r="F826" s="12" t="str">
        <f>IF(B826=0,"",COUNTIFS('Extração'!O:O,"Parcialmente",'Extração'!J:J,A826)/B826)</f>
        <v/>
      </c>
      <c r="G826" s="12" t="str">
        <f>IF(B826=0,"",COUNTIFS('Extração'!N:N,"Não",'Extração'!J:J,A826)/B826)</f>
        <v/>
      </c>
      <c r="H826" s="12" t="str">
        <f>IF(B826=0,"",COUNTIFS('Extração'!O:O,"Não",'Extração'!J:J,A826)/B826)</f>
        <v/>
      </c>
      <c r="I826" s="12" t="str">
        <f>IF(B826=0,"",COUNTIFS('Extração'!P:P,"Igual",'Extração'!J:J,A826)/B826)</f>
        <v/>
      </c>
    </row>
    <row r="827">
      <c r="B827" s="12">
        <f>COUNTIF('Extração'!J:J,A827)</f>
        <v>0</v>
      </c>
      <c r="C827" s="12" t="str">
        <f>IF(B827=0,"",COUNTIFS('Extração'!N:N,"Sim",'Extração'!J:J,A827)/B827)</f>
        <v/>
      </c>
      <c r="D827" s="12" t="str">
        <f>IF(B827=0,"",COUNTIFS('Extração'!O:O,"Sim",'Extração'!J:J,A827)/B827)</f>
        <v/>
      </c>
      <c r="E827" s="12" t="str">
        <f>IF(B827=0,"",COUNTIFS('Extração'!N:N,"Parcialmente",'Extração'!J:J,A827)/B827)</f>
        <v/>
      </c>
      <c r="F827" s="12" t="str">
        <f>IF(B827=0,"",COUNTIFS('Extração'!O:O,"Parcialmente",'Extração'!J:J,A827)/B827)</f>
        <v/>
      </c>
      <c r="G827" s="12" t="str">
        <f>IF(B827=0,"",COUNTIFS('Extração'!N:N,"Não",'Extração'!J:J,A827)/B827)</f>
        <v/>
      </c>
      <c r="H827" s="12" t="str">
        <f>IF(B827=0,"",COUNTIFS('Extração'!O:O,"Não",'Extração'!J:J,A827)/B827)</f>
        <v/>
      </c>
      <c r="I827" s="12" t="str">
        <f>IF(B827=0,"",COUNTIFS('Extração'!P:P,"Igual",'Extração'!J:J,A827)/B827)</f>
        <v/>
      </c>
    </row>
    <row r="828">
      <c r="B828" s="12">
        <f>COUNTIF('Extração'!J:J,A828)</f>
        <v>0</v>
      </c>
      <c r="C828" s="12" t="str">
        <f>IF(B828=0,"",COUNTIFS('Extração'!N:N,"Sim",'Extração'!J:J,A828)/B828)</f>
        <v/>
      </c>
      <c r="D828" s="12" t="str">
        <f>IF(B828=0,"",COUNTIFS('Extração'!O:O,"Sim",'Extração'!J:J,A828)/B828)</f>
        <v/>
      </c>
      <c r="E828" s="12" t="str">
        <f>IF(B828=0,"",COUNTIFS('Extração'!N:N,"Parcialmente",'Extração'!J:J,A828)/B828)</f>
        <v/>
      </c>
      <c r="F828" s="12" t="str">
        <f>IF(B828=0,"",COUNTIFS('Extração'!O:O,"Parcialmente",'Extração'!J:J,A828)/B828)</f>
        <v/>
      </c>
      <c r="G828" s="12" t="str">
        <f>IF(B828=0,"",COUNTIFS('Extração'!N:N,"Não",'Extração'!J:J,A828)/B828)</f>
        <v/>
      </c>
      <c r="H828" s="12" t="str">
        <f>IF(B828=0,"",COUNTIFS('Extração'!O:O,"Não",'Extração'!J:J,A828)/B828)</f>
        <v/>
      </c>
      <c r="I828" s="12" t="str">
        <f>IF(B828=0,"",COUNTIFS('Extração'!P:P,"Igual",'Extração'!J:J,A828)/B828)</f>
        <v/>
      </c>
    </row>
    <row r="829">
      <c r="B829" s="12">
        <f>COUNTIF('Extração'!J:J,A829)</f>
        <v>0</v>
      </c>
      <c r="C829" s="12" t="str">
        <f>IF(B829=0,"",COUNTIFS('Extração'!N:N,"Sim",'Extração'!J:J,A829)/B829)</f>
        <v/>
      </c>
      <c r="D829" s="12" t="str">
        <f>IF(B829=0,"",COUNTIFS('Extração'!O:O,"Sim",'Extração'!J:J,A829)/B829)</f>
        <v/>
      </c>
      <c r="E829" s="12" t="str">
        <f>IF(B829=0,"",COUNTIFS('Extração'!N:N,"Parcialmente",'Extração'!J:J,A829)/B829)</f>
        <v/>
      </c>
      <c r="F829" s="12" t="str">
        <f>IF(B829=0,"",COUNTIFS('Extração'!O:O,"Parcialmente",'Extração'!J:J,A829)/B829)</f>
        <v/>
      </c>
      <c r="G829" s="12" t="str">
        <f>IF(B829=0,"",COUNTIFS('Extração'!N:N,"Não",'Extração'!J:J,A829)/B829)</f>
        <v/>
      </c>
      <c r="H829" s="12" t="str">
        <f>IF(B829=0,"",COUNTIFS('Extração'!O:O,"Não",'Extração'!J:J,A829)/B829)</f>
        <v/>
      </c>
      <c r="I829" s="12" t="str">
        <f>IF(B829=0,"",COUNTIFS('Extração'!P:P,"Igual",'Extração'!J:J,A829)/B829)</f>
        <v/>
      </c>
    </row>
    <row r="830">
      <c r="B830" s="12">
        <f>COUNTIF('Extração'!J:J,A830)</f>
        <v>0</v>
      </c>
      <c r="C830" s="12" t="str">
        <f>IF(B830=0,"",COUNTIFS('Extração'!N:N,"Sim",'Extração'!J:J,A830)/B830)</f>
        <v/>
      </c>
      <c r="D830" s="12" t="str">
        <f>IF(B830=0,"",COUNTIFS('Extração'!O:O,"Sim",'Extração'!J:J,A830)/B830)</f>
        <v/>
      </c>
      <c r="E830" s="12" t="str">
        <f>IF(B830=0,"",COUNTIFS('Extração'!N:N,"Parcialmente",'Extração'!J:J,A830)/B830)</f>
        <v/>
      </c>
      <c r="F830" s="12" t="str">
        <f>IF(B830=0,"",COUNTIFS('Extração'!O:O,"Parcialmente",'Extração'!J:J,A830)/B830)</f>
        <v/>
      </c>
      <c r="G830" s="12" t="str">
        <f>IF(B830=0,"",COUNTIFS('Extração'!N:N,"Não",'Extração'!J:J,A830)/B830)</f>
        <v/>
      </c>
      <c r="H830" s="12" t="str">
        <f>IF(B830=0,"",COUNTIFS('Extração'!O:O,"Não",'Extração'!J:J,A830)/B830)</f>
        <v/>
      </c>
      <c r="I830" s="12" t="str">
        <f>IF(B830=0,"",COUNTIFS('Extração'!P:P,"Igual",'Extração'!J:J,A830)/B830)</f>
        <v/>
      </c>
    </row>
    <row r="831">
      <c r="B831" s="12">
        <f>COUNTIF('Extração'!J:J,A831)</f>
        <v>0</v>
      </c>
      <c r="C831" s="12" t="str">
        <f>IF(B831=0,"",COUNTIFS('Extração'!N:N,"Sim",'Extração'!J:J,A831)/B831)</f>
        <v/>
      </c>
      <c r="D831" s="12" t="str">
        <f>IF(B831=0,"",COUNTIFS('Extração'!O:O,"Sim",'Extração'!J:J,A831)/B831)</f>
        <v/>
      </c>
      <c r="E831" s="12" t="str">
        <f>IF(B831=0,"",COUNTIFS('Extração'!N:N,"Parcialmente",'Extração'!J:J,A831)/B831)</f>
        <v/>
      </c>
      <c r="F831" s="12" t="str">
        <f>IF(B831=0,"",COUNTIFS('Extração'!O:O,"Parcialmente",'Extração'!J:J,A831)/B831)</f>
        <v/>
      </c>
      <c r="G831" s="12" t="str">
        <f>IF(B831=0,"",COUNTIFS('Extração'!N:N,"Não",'Extração'!J:J,A831)/B831)</f>
        <v/>
      </c>
      <c r="H831" s="12" t="str">
        <f>IF(B831=0,"",COUNTIFS('Extração'!O:O,"Não",'Extração'!J:J,A831)/B831)</f>
        <v/>
      </c>
      <c r="I831" s="12" t="str">
        <f>IF(B831=0,"",COUNTIFS('Extração'!P:P,"Igual",'Extração'!J:J,A831)/B831)</f>
        <v/>
      </c>
    </row>
    <row r="832">
      <c r="B832" s="12">
        <f>COUNTIF('Extração'!J:J,A832)</f>
        <v>0</v>
      </c>
      <c r="C832" s="12" t="str">
        <f>IF(B832=0,"",COUNTIFS('Extração'!N:N,"Sim",'Extração'!J:J,A832)/B832)</f>
        <v/>
      </c>
      <c r="D832" s="12" t="str">
        <f>IF(B832=0,"",COUNTIFS('Extração'!O:O,"Sim",'Extração'!J:J,A832)/B832)</f>
        <v/>
      </c>
      <c r="E832" s="12" t="str">
        <f>IF(B832=0,"",COUNTIFS('Extração'!N:N,"Parcialmente",'Extração'!J:J,A832)/B832)</f>
        <v/>
      </c>
      <c r="F832" s="12" t="str">
        <f>IF(B832=0,"",COUNTIFS('Extração'!O:O,"Parcialmente",'Extração'!J:J,A832)/B832)</f>
        <v/>
      </c>
      <c r="G832" s="12" t="str">
        <f>IF(B832=0,"",COUNTIFS('Extração'!N:N,"Não",'Extração'!J:J,A832)/B832)</f>
        <v/>
      </c>
      <c r="H832" s="12" t="str">
        <f>IF(B832=0,"",COUNTIFS('Extração'!O:O,"Não",'Extração'!J:J,A832)/B832)</f>
        <v/>
      </c>
      <c r="I832" s="12" t="str">
        <f>IF(B832=0,"",COUNTIFS('Extração'!P:P,"Igual",'Extração'!J:J,A832)/B832)</f>
        <v/>
      </c>
    </row>
    <row r="833">
      <c r="B833" s="12">
        <f>COUNTIF('Extração'!J:J,A833)</f>
        <v>0</v>
      </c>
      <c r="C833" s="12" t="str">
        <f>IF(B833=0,"",COUNTIFS('Extração'!N:N,"Sim",'Extração'!J:J,A833)/B833)</f>
        <v/>
      </c>
      <c r="D833" s="12" t="str">
        <f>IF(B833=0,"",COUNTIFS('Extração'!O:O,"Sim",'Extração'!J:J,A833)/B833)</f>
        <v/>
      </c>
      <c r="E833" s="12" t="str">
        <f>IF(B833=0,"",COUNTIFS('Extração'!N:N,"Parcialmente",'Extração'!J:J,A833)/B833)</f>
        <v/>
      </c>
      <c r="F833" s="12" t="str">
        <f>IF(B833=0,"",COUNTIFS('Extração'!O:O,"Parcialmente",'Extração'!J:J,A833)/B833)</f>
        <v/>
      </c>
      <c r="G833" s="12" t="str">
        <f>IF(B833=0,"",COUNTIFS('Extração'!N:N,"Não",'Extração'!J:J,A833)/B833)</f>
        <v/>
      </c>
      <c r="H833" s="12" t="str">
        <f>IF(B833=0,"",COUNTIFS('Extração'!O:O,"Não",'Extração'!J:J,A833)/B833)</f>
        <v/>
      </c>
      <c r="I833" s="12" t="str">
        <f>IF(B833=0,"",COUNTIFS('Extração'!P:P,"Igual",'Extração'!J:J,A833)/B833)</f>
        <v/>
      </c>
    </row>
    <row r="834">
      <c r="B834" s="12">
        <f>COUNTIF('Extração'!J:J,A834)</f>
        <v>0</v>
      </c>
      <c r="C834" s="12" t="str">
        <f>IF(B834=0,"",COUNTIFS('Extração'!N:N,"Sim",'Extração'!J:J,A834)/B834)</f>
        <v/>
      </c>
      <c r="D834" s="12" t="str">
        <f>IF(B834=0,"",COUNTIFS('Extração'!O:O,"Sim",'Extração'!J:J,A834)/B834)</f>
        <v/>
      </c>
      <c r="E834" s="12" t="str">
        <f>IF(B834=0,"",COUNTIFS('Extração'!N:N,"Parcialmente",'Extração'!J:J,A834)/B834)</f>
        <v/>
      </c>
      <c r="F834" s="12" t="str">
        <f>IF(B834=0,"",COUNTIFS('Extração'!O:O,"Parcialmente",'Extração'!J:J,A834)/B834)</f>
        <v/>
      </c>
      <c r="G834" s="12" t="str">
        <f>IF(B834=0,"",COUNTIFS('Extração'!N:N,"Não",'Extração'!J:J,A834)/B834)</f>
        <v/>
      </c>
      <c r="H834" s="12" t="str">
        <f>IF(B834=0,"",COUNTIFS('Extração'!O:O,"Não",'Extração'!J:J,A834)/B834)</f>
        <v/>
      </c>
      <c r="I834" s="12" t="str">
        <f>IF(B834=0,"",COUNTIFS('Extração'!P:P,"Igual",'Extração'!J:J,A834)/B834)</f>
        <v/>
      </c>
    </row>
    <row r="835">
      <c r="B835" s="12">
        <f>COUNTIF('Extração'!J:J,A835)</f>
        <v>0</v>
      </c>
      <c r="C835" s="12" t="str">
        <f>IF(B835=0,"",COUNTIFS('Extração'!N:N,"Sim",'Extração'!J:J,A835)/B835)</f>
        <v/>
      </c>
      <c r="D835" s="12" t="str">
        <f>IF(B835=0,"",COUNTIFS('Extração'!O:O,"Sim",'Extração'!J:J,A835)/B835)</f>
        <v/>
      </c>
      <c r="E835" s="12" t="str">
        <f>IF(B835=0,"",COUNTIFS('Extração'!N:N,"Parcialmente",'Extração'!J:J,A835)/B835)</f>
        <v/>
      </c>
      <c r="F835" s="12" t="str">
        <f>IF(B835=0,"",COUNTIFS('Extração'!O:O,"Parcialmente",'Extração'!J:J,A835)/B835)</f>
        <v/>
      </c>
      <c r="G835" s="12" t="str">
        <f>IF(B835=0,"",COUNTIFS('Extração'!N:N,"Não",'Extração'!J:J,A835)/B835)</f>
        <v/>
      </c>
      <c r="H835" s="12" t="str">
        <f>IF(B835=0,"",COUNTIFS('Extração'!O:O,"Não",'Extração'!J:J,A835)/B835)</f>
        <v/>
      </c>
      <c r="I835" s="12" t="str">
        <f>IF(B835=0,"",COUNTIFS('Extração'!P:P,"Igual",'Extração'!J:J,A835)/B835)</f>
        <v/>
      </c>
    </row>
    <row r="836">
      <c r="B836" s="12">
        <f>COUNTIF('Extração'!J:J,A836)</f>
        <v>0</v>
      </c>
      <c r="C836" s="12" t="str">
        <f>IF(B836=0,"",COUNTIFS('Extração'!N:N,"Sim",'Extração'!J:J,A836)/B836)</f>
        <v/>
      </c>
      <c r="D836" s="12" t="str">
        <f>IF(B836=0,"",COUNTIFS('Extração'!O:O,"Sim",'Extração'!J:J,A836)/B836)</f>
        <v/>
      </c>
      <c r="E836" s="12" t="str">
        <f>IF(B836=0,"",COUNTIFS('Extração'!N:N,"Parcialmente",'Extração'!J:J,A836)/B836)</f>
        <v/>
      </c>
      <c r="F836" s="12" t="str">
        <f>IF(B836=0,"",COUNTIFS('Extração'!O:O,"Parcialmente",'Extração'!J:J,A836)/B836)</f>
        <v/>
      </c>
      <c r="G836" s="12" t="str">
        <f>IF(B836=0,"",COUNTIFS('Extração'!N:N,"Não",'Extração'!J:J,A836)/B836)</f>
        <v/>
      </c>
      <c r="H836" s="12" t="str">
        <f>IF(B836=0,"",COUNTIFS('Extração'!O:O,"Não",'Extração'!J:J,A836)/B836)</f>
        <v/>
      </c>
      <c r="I836" s="12" t="str">
        <f>IF(B836=0,"",COUNTIFS('Extração'!P:P,"Igual",'Extração'!J:J,A836)/B836)</f>
        <v/>
      </c>
    </row>
    <row r="837">
      <c r="B837" s="12">
        <f>COUNTIF('Extração'!J:J,A837)</f>
        <v>0</v>
      </c>
      <c r="C837" s="12" t="str">
        <f>IF(B837=0,"",COUNTIFS('Extração'!N:N,"Sim",'Extração'!J:J,A837)/B837)</f>
        <v/>
      </c>
      <c r="D837" s="12" t="str">
        <f>IF(B837=0,"",COUNTIFS('Extração'!O:O,"Sim",'Extração'!J:J,A837)/B837)</f>
        <v/>
      </c>
      <c r="E837" s="12" t="str">
        <f>IF(B837=0,"",COUNTIFS('Extração'!N:N,"Parcialmente",'Extração'!J:J,A837)/B837)</f>
        <v/>
      </c>
      <c r="F837" s="12" t="str">
        <f>IF(B837=0,"",COUNTIFS('Extração'!O:O,"Parcialmente",'Extração'!J:J,A837)/B837)</f>
        <v/>
      </c>
      <c r="G837" s="12" t="str">
        <f>IF(B837=0,"",COUNTIFS('Extração'!N:N,"Não",'Extração'!J:J,A837)/B837)</f>
        <v/>
      </c>
      <c r="H837" s="12" t="str">
        <f>IF(B837=0,"",COUNTIFS('Extração'!O:O,"Não",'Extração'!J:J,A837)/B837)</f>
        <v/>
      </c>
      <c r="I837" s="12" t="str">
        <f>IF(B837=0,"",COUNTIFS('Extração'!P:P,"Igual",'Extração'!J:J,A837)/B837)</f>
        <v/>
      </c>
    </row>
    <row r="838">
      <c r="B838" s="12">
        <f>COUNTIF('Extração'!J:J,A838)</f>
        <v>0</v>
      </c>
      <c r="C838" s="12" t="str">
        <f>IF(B838=0,"",COUNTIFS('Extração'!N:N,"Sim",'Extração'!J:J,A838)/B838)</f>
        <v/>
      </c>
      <c r="D838" s="12" t="str">
        <f>IF(B838=0,"",COUNTIFS('Extração'!O:O,"Sim",'Extração'!J:J,A838)/B838)</f>
        <v/>
      </c>
      <c r="E838" s="12" t="str">
        <f>IF(B838=0,"",COUNTIFS('Extração'!N:N,"Parcialmente",'Extração'!J:J,A838)/B838)</f>
        <v/>
      </c>
      <c r="F838" s="12" t="str">
        <f>IF(B838=0,"",COUNTIFS('Extração'!O:O,"Parcialmente",'Extração'!J:J,A838)/B838)</f>
        <v/>
      </c>
      <c r="G838" s="12" t="str">
        <f>IF(B838=0,"",COUNTIFS('Extração'!N:N,"Não",'Extração'!J:J,A838)/B838)</f>
        <v/>
      </c>
      <c r="H838" s="12" t="str">
        <f>IF(B838=0,"",COUNTIFS('Extração'!O:O,"Não",'Extração'!J:J,A838)/B838)</f>
        <v/>
      </c>
      <c r="I838" s="12" t="str">
        <f>IF(B838=0,"",COUNTIFS('Extração'!P:P,"Igual",'Extração'!J:J,A838)/B838)</f>
        <v/>
      </c>
    </row>
    <row r="839">
      <c r="B839" s="12">
        <f>COUNTIF('Extração'!J:J,A839)</f>
        <v>0</v>
      </c>
      <c r="C839" s="12" t="str">
        <f>IF(B839=0,"",COUNTIFS('Extração'!N:N,"Sim",'Extração'!J:J,A839)/B839)</f>
        <v/>
      </c>
      <c r="D839" s="12" t="str">
        <f>IF(B839=0,"",COUNTIFS('Extração'!O:O,"Sim",'Extração'!J:J,A839)/B839)</f>
        <v/>
      </c>
      <c r="E839" s="12" t="str">
        <f>IF(B839=0,"",COUNTIFS('Extração'!N:N,"Parcialmente",'Extração'!J:J,A839)/B839)</f>
        <v/>
      </c>
      <c r="F839" s="12" t="str">
        <f>IF(B839=0,"",COUNTIFS('Extração'!O:O,"Parcialmente",'Extração'!J:J,A839)/B839)</f>
        <v/>
      </c>
      <c r="G839" s="12" t="str">
        <f>IF(B839=0,"",COUNTIFS('Extração'!N:N,"Não",'Extração'!J:J,A839)/B839)</f>
        <v/>
      </c>
      <c r="H839" s="12" t="str">
        <f>IF(B839=0,"",COUNTIFS('Extração'!O:O,"Não",'Extração'!J:J,A839)/B839)</f>
        <v/>
      </c>
      <c r="I839" s="12" t="str">
        <f>IF(B839=0,"",COUNTIFS('Extração'!P:P,"Igual",'Extração'!J:J,A839)/B839)</f>
        <v/>
      </c>
    </row>
    <row r="840">
      <c r="B840" s="12">
        <f>COUNTIF('Extração'!J:J,A840)</f>
        <v>0</v>
      </c>
      <c r="C840" s="12" t="str">
        <f>IF(B840=0,"",COUNTIFS('Extração'!N:N,"Sim",'Extração'!J:J,A840)/B840)</f>
        <v/>
      </c>
      <c r="D840" s="12" t="str">
        <f>IF(B840=0,"",COUNTIFS('Extração'!O:O,"Sim",'Extração'!J:J,A840)/B840)</f>
        <v/>
      </c>
      <c r="E840" s="12" t="str">
        <f>IF(B840=0,"",COUNTIFS('Extração'!N:N,"Parcialmente",'Extração'!J:J,A840)/B840)</f>
        <v/>
      </c>
      <c r="F840" s="12" t="str">
        <f>IF(B840=0,"",COUNTIFS('Extração'!O:O,"Parcialmente",'Extração'!J:J,A840)/B840)</f>
        <v/>
      </c>
      <c r="G840" s="12" t="str">
        <f>IF(B840=0,"",COUNTIFS('Extração'!N:N,"Não",'Extração'!J:J,A840)/B840)</f>
        <v/>
      </c>
      <c r="H840" s="12" t="str">
        <f>IF(B840=0,"",COUNTIFS('Extração'!O:O,"Não",'Extração'!J:J,A840)/B840)</f>
        <v/>
      </c>
      <c r="I840" s="12" t="str">
        <f>IF(B840=0,"",COUNTIFS('Extração'!P:P,"Igual",'Extração'!J:J,A840)/B840)</f>
        <v/>
      </c>
    </row>
    <row r="841">
      <c r="B841" s="12">
        <f>COUNTIF('Extração'!J:J,A841)</f>
        <v>0</v>
      </c>
      <c r="C841" s="12" t="str">
        <f>IF(B841=0,"",COUNTIFS('Extração'!N:N,"Sim",'Extração'!J:J,A841)/B841)</f>
        <v/>
      </c>
      <c r="D841" s="12" t="str">
        <f>IF(B841=0,"",COUNTIFS('Extração'!O:O,"Sim",'Extração'!J:J,A841)/B841)</f>
        <v/>
      </c>
      <c r="E841" s="12" t="str">
        <f>IF(B841=0,"",COUNTIFS('Extração'!N:N,"Parcialmente",'Extração'!J:J,A841)/B841)</f>
        <v/>
      </c>
      <c r="F841" s="12" t="str">
        <f>IF(B841=0,"",COUNTIFS('Extração'!O:O,"Parcialmente",'Extração'!J:J,A841)/B841)</f>
        <v/>
      </c>
      <c r="G841" s="12" t="str">
        <f>IF(B841=0,"",COUNTIFS('Extração'!N:N,"Não",'Extração'!J:J,A841)/B841)</f>
        <v/>
      </c>
      <c r="H841" s="12" t="str">
        <f>IF(B841=0,"",COUNTIFS('Extração'!O:O,"Não",'Extração'!J:J,A841)/B841)</f>
        <v/>
      </c>
      <c r="I841" s="12" t="str">
        <f>IF(B841=0,"",COUNTIFS('Extração'!P:P,"Igual",'Extração'!J:J,A841)/B841)</f>
        <v/>
      </c>
    </row>
    <row r="842">
      <c r="B842" s="12">
        <f>COUNTIF('Extração'!J:J,A842)</f>
        <v>0</v>
      </c>
      <c r="C842" s="12" t="str">
        <f>IF(B842=0,"",COUNTIFS('Extração'!N:N,"Sim",'Extração'!J:J,A842)/B842)</f>
        <v/>
      </c>
      <c r="D842" s="12" t="str">
        <f>IF(B842=0,"",COUNTIFS('Extração'!O:O,"Sim",'Extração'!J:J,A842)/B842)</f>
        <v/>
      </c>
      <c r="E842" s="12" t="str">
        <f>IF(B842=0,"",COUNTIFS('Extração'!N:N,"Parcialmente",'Extração'!J:J,A842)/B842)</f>
        <v/>
      </c>
      <c r="F842" s="12" t="str">
        <f>IF(B842=0,"",COUNTIFS('Extração'!O:O,"Parcialmente",'Extração'!J:J,A842)/B842)</f>
        <v/>
      </c>
      <c r="G842" s="12" t="str">
        <f>IF(B842=0,"",COUNTIFS('Extração'!N:N,"Não",'Extração'!J:J,A842)/B842)</f>
        <v/>
      </c>
      <c r="H842" s="12" t="str">
        <f>IF(B842=0,"",COUNTIFS('Extração'!O:O,"Não",'Extração'!J:J,A842)/B842)</f>
        <v/>
      </c>
      <c r="I842" s="12" t="str">
        <f>IF(B842=0,"",COUNTIFS('Extração'!P:P,"Igual",'Extração'!J:J,A842)/B842)</f>
        <v/>
      </c>
    </row>
    <row r="843">
      <c r="B843" s="12">
        <f>COUNTIF('Extração'!J:J,A843)</f>
        <v>0</v>
      </c>
      <c r="C843" s="12" t="str">
        <f>IF(B843=0,"",COUNTIFS('Extração'!N:N,"Sim",'Extração'!J:J,A843)/B843)</f>
        <v/>
      </c>
      <c r="D843" s="12" t="str">
        <f>IF(B843=0,"",COUNTIFS('Extração'!O:O,"Sim",'Extração'!J:J,A843)/B843)</f>
        <v/>
      </c>
      <c r="E843" s="12" t="str">
        <f>IF(B843=0,"",COUNTIFS('Extração'!N:N,"Parcialmente",'Extração'!J:J,A843)/B843)</f>
        <v/>
      </c>
      <c r="F843" s="12" t="str">
        <f>IF(B843=0,"",COUNTIFS('Extração'!O:O,"Parcialmente",'Extração'!J:J,A843)/B843)</f>
        <v/>
      </c>
      <c r="G843" s="12" t="str">
        <f>IF(B843=0,"",COUNTIFS('Extração'!N:N,"Não",'Extração'!J:J,A843)/B843)</f>
        <v/>
      </c>
      <c r="H843" s="12" t="str">
        <f>IF(B843=0,"",COUNTIFS('Extração'!O:O,"Não",'Extração'!J:J,A843)/B843)</f>
        <v/>
      </c>
      <c r="I843" s="12" t="str">
        <f>IF(B843=0,"",COUNTIFS('Extração'!P:P,"Igual",'Extração'!J:J,A843)/B843)</f>
        <v/>
      </c>
    </row>
    <row r="844">
      <c r="B844" s="12">
        <f>COUNTIF('Extração'!J:J,A844)</f>
        <v>0</v>
      </c>
      <c r="C844" s="12" t="str">
        <f>IF(B844=0,"",COUNTIFS('Extração'!N:N,"Sim",'Extração'!J:J,A844)/B844)</f>
        <v/>
      </c>
      <c r="D844" s="12" t="str">
        <f>IF(B844=0,"",COUNTIFS('Extração'!O:O,"Sim",'Extração'!J:J,A844)/B844)</f>
        <v/>
      </c>
      <c r="E844" s="12" t="str">
        <f>IF(B844=0,"",COUNTIFS('Extração'!N:N,"Parcialmente",'Extração'!J:J,A844)/B844)</f>
        <v/>
      </c>
      <c r="F844" s="12" t="str">
        <f>IF(B844=0,"",COUNTIFS('Extração'!O:O,"Parcialmente",'Extração'!J:J,A844)/B844)</f>
        <v/>
      </c>
      <c r="G844" s="12" t="str">
        <f>IF(B844=0,"",COUNTIFS('Extração'!N:N,"Não",'Extração'!J:J,A844)/B844)</f>
        <v/>
      </c>
      <c r="H844" s="12" t="str">
        <f>IF(B844=0,"",COUNTIFS('Extração'!O:O,"Não",'Extração'!J:J,A844)/B844)</f>
        <v/>
      </c>
      <c r="I844" s="12" t="str">
        <f>IF(B844=0,"",COUNTIFS('Extração'!P:P,"Igual",'Extração'!J:J,A844)/B844)</f>
        <v/>
      </c>
    </row>
    <row r="845">
      <c r="B845" s="12">
        <f>COUNTIF('Extração'!J:J,A845)</f>
        <v>0</v>
      </c>
      <c r="C845" s="12" t="str">
        <f>IF(B845=0,"",COUNTIFS('Extração'!N:N,"Sim",'Extração'!J:J,A845)/B845)</f>
        <v/>
      </c>
      <c r="D845" s="12" t="str">
        <f>IF(B845=0,"",COUNTIFS('Extração'!O:O,"Sim",'Extração'!J:J,A845)/B845)</f>
        <v/>
      </c>
      <c r="E845" s="12" t="str">
        <f>IF(B845=0,"",COUNTIFS('Extração'!N:N,"Parcialmente",'Extração'!J:J,A845)/B845)</f>
        <v/>
      </c>
      <c r="F845" s="12" t="str">
        <f>IF(B845=0,"",COUNTIFS('Extração'!O:O,"Parcialmente",'Extração'!J:J,A845)/B845)</f>
        <v/>
      </c>
      <c r="G845" s="12" t="str">
        <f>IF(B845=0,"",COUNTIFS('Extração'!N:N,"Não",'Extração'!J:J,A845)/B845)</f>
        <v/>
      </c>
      <c r="H845" s="12" t="str">
        <f>IF(B845=0,"",COUNTIFS('Extração'!O:O,"Não",'Extração'!J:J,A845)/B845)</f>
        <v/>
      </c>
      <c r="I845" s="12" t="str">
        <f>IF(B845=0,"",COUNTIFS('Extração'!P:P,"Igual",'Extração'!J:J,A845)/B845)</f>
        <v/>
      </c>
    </row>
    <row r="846">
      <c r="B846" s="12">
        <f>COUNTIF('Extração'!J:J,A846)</f>
        <v>0</v>
      </c>
      <c r="C846" s="12" t="str">
        <f>IF(B846=0,"",COUNTIFS('Extração'!N:N,"Sim",'Extração'!J:J,A846)/B846)</f>
        <v/>
      </c>
      <c r="D846" s="12" t="str">
        <f>IF(B846=0,"",COUNTIFS('Extração'!O:O,"Sim",'Extração'!J:J,A846)/B846)</f>
        <v/>
      </c>
      <c r="E846" s="12" t="str">
        <f>IF(B846=0,"",COUNTIFS('Extração'!N:N,"Parcialmente",'Extração'!J:J,A846)/B846)</f>
        <v/>
      </c>
      <c r="F846" s="12" t="str">
        <f>IF(B846=0,"",COUNTIFS('Extração'!O:O,"Parcialmente",'Extração'!J:J,A846)/B846)</f>
        <v/>
      </c>
      <c r="G846" s="12" t="str">
        <f>IF(B846=0,"",COUNTIFS('Extração'!N:N,"Não",'Extração'!J:J,A846)/B846)</f>
        <v/>
      </c>
      <c r="H846" s="12" t="str">
        <f>IF(B846=0,"",COUNTIFS('Extração'!O:O,"Não",'Extração'!J:J,A846)/B846)</f>
        <v/>
      </c>
      <c r="I846" s="12" t="str">
        <f>IF(B846=0,"",COUNTIFS('Extração'!P:P,"Igual",'Extração'!J:J,A846)/B846)</f>
        <v/>
      </c>
    </row>
    <row r="847">
      <c r="B847" s="12">
        <f>COUNTIF('Extração'!J:J,A847)</f>
        <v>0</v>
      </c>
      <c r="C847" s="12" t="str">
        <f>IF(B847=0,"",COUNTIFS('Extração'!N:N,"Sim",'Extração'!J:J,A847)/B847)</f>
        <v/>
      </c>
      <c r="D847" s="12" t="str">
        <f>IF(B847=0,"",COUNTIFS('Extração'!O:O,"Sim",'Extração'!J:J,A847)/B847)</f>
        <v/>
      </c>
      <c r="E847" s="12" t="str">
        <f>IF(B847=0,"",COUNTIFS('Extração'!N:N,"Parcialmente",'Extração'!J:J,A847)/B847)</f>
        <v/>
      </c>
      <c r="F847" s="12" t="str">
        <f>IF(B847=0,"",COUNTIFS('Extração'!O:O,"Parcialmente",'Extração'!J:J,A847)/B847)</f>
        <v/>
      </c>
      <c r="G847" s="12" t="str">
        <f>IF(B847=0,"",COUNTIFS('Extração'!N:N,"Não",'Extração'!J:J,A847)/B847)</f>
        <v/>
      </c>
      <c r="H847" s="12" t="str">
        <f>IF(B847=0,"",COUNTIFS('Extração'!O:O,"Não",'Extração'!J:J,A847)/B847)</f>
        <v/>
      </c>
      <c r="I847" s="12" t="str">
        <f>IF(B847=0,"",COUNTIFS('Extração'!P:P,"Igual",'Extração'!J:J,A847)/B847)</f>
        <v/>
      </c>
    </row>
    <row r="848">
      <c r="B848" s="12">
        <f>COUNTIF('Extração'!J:J,A848)</f>
        <v>0</v>
      </c>
      <c r="C848" s="12" t="str">
        <f>IF(B848=0,"",COUNTIFS('Extração'!N:N,"Sim",'Extração'!J:J,A848)/B848)</f>
        <v/>
      </c>
      <c r="D848" s="12" t="str">
        <f>IF(B848=0,"",COUNTIFS('Extração'!O:O,"Sim",'Extração'!J:J,A848)/B848)</f>
        <v/>
      </c>
      <c r="E848" s="12" t="str">
        <f>IF(B848=0,"",COUNTIFS('Extração'!N:N,"Parcialmente",'Extração'!J:J,A848)/B848)</f>
        <v/>
      </c>
      <c r="F848" s="12" t="str">
        <f>IF(B848=0,"",COUNTIFS('Extração'!O:O,"Parcialmente",'Extração'!J:J,A848)/B848)</f>
        <v/>
      </c>
      <c r="G848" s="12" t="str">
        <f>IF(B848=0,"",COUNTIFS('Extração'!N:N,"Não",'Extração'!J:J,A848)/B848)</f>
        <v/>
      </c>
      <c r="H848" s="12" t="str">
        <f>IF(B848=0,"",COUNTIFS('Extração'!O:O,"Não",'Extração'!J:J,A848)/B848)</f>
        <v/>
      </c>
      <c r="I848" s="12" t="str">
        <f>IF(B848=0,"",COUNTIFS('Extração'!P:P,"Igual",'Extração'!J:J,A848)/B848)</f>
        <v/>
      </c>
    </row>
    <row r="849">
      <c r="B849" s="12">
        <f>COUNTIF('Extração'!J:J,A849)</f>
        <v>0</v>
      </c>
      <c r="C849" s="12" t="str">
        <f>IF(B849=0,"",COUNTIFS('Extração'!N:N,"Sim",'Extração'!J:J,A849)/B849)</f>
        <v/>
      </c>
      <c r="D849" s="12" t="str">
        <f>IF(B849=0,"",COUNTIFS('Extração'!O:O,"Sim",'Extração'!J:J,A849)/B849)</f>
        <v/>
      </c>
      <c r="E849" s="12" t="str">
        <f>IF(B849=0,"",COUNTIFS('Extração'!N:N,"Parcialmente",'Extração'!J:J,A849)/B849)</f>
        <v/>
      </c>
      <c r="F849" s="12" t="str">
        <f>IF(B849=0,"",COUNTIFS('Extração'!O:O,"Parcialmente",'Extração'!J:J,A849)/B849)</f>
        <v/>
      </c>
      <c r="G849" s="12" t="str">
        <f>IF(B849=0,"",COUNTIFS('Extração'!N:N,"Não",'Extração'!J:J,A849)/B849)</f>
        <v/>
      </c>
      <c r="H849" s="12" t="str">
        <f>IF(B849=0,"",COUNTIFS('Extração'!O:O,"Não",'Extração'!J:J,A849)/B849)</f>
        <v/>
      </c>
      <c r="I849" s="12" t="str">
        <f>IF(B849=0,"",COUNTIFS('Extração'!P:P,"Igual",'Extração'!J:J,A849)/B849)</f>
        <v/>
      </c>
    </row>
    <row r="850">
      <c r="B850" s="12">
        <f>COUNTIF('Extração'!J:J,A850)</f>
        <v>0</v>
      </c>
      <c r="C850" s="12" t="str">
        <f>IF(B850=0,"",COUNTIFS('Extração'!N:N,"Sim",'Extração'!J:J,A850)/B850)</f>
        <v/>
      </c>
      <c r="D850" s="12" t="str">
        <f>IF(B850=0,"",COUNTIFS('Extração'!O:O,"Sim",'Extração'!J:J,A850)/B850)</f>
        <v/>
      </c>
      <c r="E850" s="12" t="str">
        <f>IF(B850=0,"",COUNTIFS('Extração'!N:N,"Parcialmente",'Extração'!J:J,A850)/B850)</f>
        <v/>
      </c>
      <c r="F850" s="12" t="str">
        <f>IF(B850=0,"",COUNTIFS('Extração'!O:O,"Parcialmente",'Extração'!J:J,A850)/B850)</f>
        <v/>
      </c>
      <c r="G850" s="12" t="str">
        <f>IF(B850=0,"",COUNTIFS('Extração'!N:N,"Não",'Extração'!J:J,A850)/B850)</f>
        <v/>
      </c>
      <c r="H850" s="12" t="str">
        <f>IF(B850=0,"",COUNTIFS('Extração'!O:O,"Não",'Extração'!J:J,A850)/B850)</f>
        <v/>
      </c>
      <c r="I850" s="12" t="str">
        <f>IF(B850=0,"",COUNTIFS('Extração'!P:P,"Igual",'Extração'!J:J,A850)/B850)</f>
        <v/>
      </c>
    </row>
    <row r="851">
      <c r="B851" s="12">
        <f>COUNTIF('Extração'!J:J,A851)</f>
        <v>0</v>
      </c>
      <c r="C851" s="12" t="str">
        <f>IF(B851=0,"",COUNTIFS('Extração'!N:N,"Sim",'Extração'!J:J,A851)/B851)</f>
        <v/>
      </c>
      <c r="D851" s="12" t="str">
        <f>IF(B851=0,"",COUNTIFS('Extração'!O:O,"Sim",'Extração'!J:J,A851)/B851)</f>
        <v/>
      </c>
      <c r="E851" s="12" t="str">
        <f>IF(B851=0,"",COUNTIFS('Extração'!N:N,"Parcialmente",'Extração'!J:J,A851)/B851)</f>
        <v/>
      </c>
      <c r="F851" s="12" t="str">
        <f>IF(B851=0,"",COUNTIFS('Extração'!O:O,"Parcialmente",'Extração'!J:J,A851)/B851)</f>
        <v/>
      </c>
      <c r="G851" s="12" t="str">
        <f>IF(B851=0,"",COUNTIFS('Extração'!N:N,"Não",'Extração'!J:J,A851)/B851)</f>
        <v/>
      </c>
      <c r="H851" s="12" t="str">
        <f>IF(B851=0,"",COUNTIFS('Extração'!O:O,"Não",'Extração'!J:J,A851)/B851)</f>
        <v/>
      </c>
      <c r="I851" s="12" t="str">
        <f>IF(B851=0,"",COUNTIFS('Extração'!P:P,"Igual",'Extração'!J:J,A851)/B851)</f>
        <v/>
      </c>
    </row>
    <row r="852">
      <c r="B852" s="12">
        <f>COUNTIF('Extração'!J:J,A852)</f>
        <v>0</v>
      </c>
      <c r="C852" s="12" t="str">
        <f>IF(B852=0,"",COUNTIFS('Extração'!N:N,"Sim",'Extração'!J:J,A852)/B852)</f>
        <v/>
      </c>
      <c r="D852" s="12" t="str">
        <f>IF(B852=0,"",COUNTIFS('Extração'!O:O,"Sim",'Extração'!J:J,A852)/B852)</f>
        <v/>
      </c>
      <c r="E852" s="12" t="str">
        <f>IF(B852=0,"",COUNTIFS('Extração'!N:N,"Parcialmente",'Extração'!J:J,A852)/B852)</f>
        <v/>
      </c>
      <c r="F852" s="12" t="str">
        <f>IF(B852=0,"",COUNTIFS('Extração'!O:O,"Parcialmente",'Extração'!J:J,A852)/B852)</f>
        <v/>
      </c>
      <c r="G852" s="12" t="str">
        <f>IF(B852=0,"",COUNTIFS('Extração'!N:N,"Não",'Extração'!J:J,A852)/B852)</f>
        <v/>
      </c>
      <c r="H852" s="12" t="str">
        <f>IF(B852=0,"",COUNTIFS('Extração'!O:O,"Não",'Extração'!J:J,A852)/B852)</f>
        <v/>
      </c>
      <c r="I852" s="12" t="str">
        <f>IF(B852=0,"",COUNTIFS('Extração'!P:P,"Igual",'Extração'!J:J,A852)/B852)</f>
        <v/>
      </c>
    </row>
    <row r="853">
      <c r="B853" s="12">
        <f>COUNTIF('Extração'!J:J,A853)</f>
        <v>0</v>
      </c>
      <c r="C853" s="12" t="str">
        <f>IF(B853=0,"",COUNTIFS('Extração'!N:N,"Sim",'Extração'!J:J,A853)/B853)</f>
        <v/>
      </c>
      <c r="D853" s="12" t="str">
        <f>IF(B853=0,"",COUNTIFS('Extração'!O:O,"Sim",'Extração'!J:J,A853)/B853)</f>
        <v/>
      </c>
      <c r="E853" s="12" t="str">
        <f>IF(B853=0,"",COUNTIFS('Extração'!N:N,"Parcialmente",'Extração'!J:J,A853)/B853)</f>
        <v/>
      </c>
      <c r="F853" s="12" t="str">
        <f>IF(B853=0,"",COUNTIFS('Extração'!O:O,"Parcialmente",'Extração'!J:J,A853)/B853)</f>
        <v/>
      </c>
      <c r="G853" s="12" t="str">
        <f>IF(B853=0,"",COUNTIFS('Extração'!N:N,"Não",'Extração'!J:J,A853)/B853)</f>
        <v/>
      </c>
      <c r="H853" s="12" t="str">
        <f>IF(B853=0,"",COUNTIFS('Extração'!O:O,"Não",'Extração'!J:J,A853)/B853)</f>
        <v/>
      </c>
      <c r="I853" s="12" t="str">
        <f>IF(B853=0,"",COUNTIFS('Extração'!P:P,"Igual",'Extração'!J:J,A853)/B853)</f>
        <v/>
      </c>
    </row>
    <row r="854">
      <c r="B854" s="12">
        <f>COUNTIF('Extração'!J:J,A854)</f>
        <v>0</v>
      </c>
      <c r="C854" s="12" t="str">
        <f>IF(B854=0,"",COUNTIFS('Extração'!N:N,"Sim",'Extração'!J:J,A854)/B854)</f>
        <v/>
      </c>
      <c r="D854" s="12" t="str">
        <f>IF(B854=0,"",COUNTIFS('Extração'!O:O,"Sim",'Extração'!J:J,A854)/B854)</f>
        <v/>
      </c>
      <c r="E854" s="12" t="str">
        <f>IF(B854=0,"",COUNTIFS('Extração'!N:N,"Parcialmente",'Extração'!J:J,A854)/B854)</f>
        <v/>
      </c>
      <c r="F854" s="12" t="str">
        <f>IF(B854=0,"",COUNTIFS('Extração'!O:O,"Parcialmente",'Extração'!J:J,A854)/B854)</f>
        <v/>
      </c>
      <c r="G854" s="12" t="str">
        <f>IF(B854=0,"",COUNTIFS('Extração'!N:N,"Não",'Extração'!J:J,A854)/B854)</f>
        <v/>
      </c>
      <c r="H854" s="12" t="str">
        <f>IF(B854=0,"",COUNTIFS('Extração'!O:O,"Não",'Extração'!J:J,A854)/B854)</f>
        <v/>
      </c>
      <c r="I854" s="12" t="str">
        <f>IF(B854=0,"",COUNTIFS('Extração'!P:P,"Igual",'Extração'!J:J,A854)/B854)</f>
        <v/>
      </c>
    </row>
    <row r="855">
      <c r="B855" s="12">
        <f>COUNTIF('Extração'!J:J,A855)</f>
        <v>0</v>
      </c>
      <c r="C855" s="12" t="str">
        <f>IF(B855=0,"",COUNTIFS('Extração'!N:N,"Sim",'Extração'!J:J,A855)/B855)</f>
        <v/>
      </c>
      <c r="D855" s="12" t="str">
        <f>IF(B855=0,"",COUNTIFS('Extração'!O:O,"Sim",'Extração'!J:J,A855)/B855)</f>
        <v/>
      </c>
      <c r="E855" s="12" t="str">
        <f>IF(B855=0,"",COUNTIFS('Extração'!N:N,"Parcialmente",'Extração'!J:J,A855)/B855)</f>
        <v/>
      </c>
      <c r="F855" s="12" t="str">
        <f>IF(B855=0,"",COUNTIFS('Extração'!O:O,"Parcialmente",'Extração'!J:J,A855)/B855)</f>
        <v/>
      </c>
      <c r="G855" s="12" t="str">
        <f>IF(B855=0,"",COUNTIFS('Extração'!N:N,"Não",'Extração'!J:J,A855)/B855)</f>
        <v/>
      </c>
      <c r="H855" s="12" t="str">
        <f>IF(B855=0,"",COUNTIFS('Extração'!O:O,"Não",'Extração'!J:J,A855)/B855)</f>
        <v/>
      </c>
      <c r="I855" s="12" t="str">
        <f>IF(B855=0,"",COUNTIFS('Extração'!P:P,"Igual",'Extração'!J:J,A855)/B855)</f>
        <v/>
      </c>
    </row>
    <row r="856">
      <c r="B856" s="12">
        <f>COUNTIF('Extração'!J:J,A856)</f>
        <v>0</v>
      </c>
      <c r="C856" s="12" t="str">
        <f>IF(B856=0,"",COUNTIFS('Extração'!N:N,"Sim",'Extração'!J:J,A856)/B856)</f>
        <v/>
      </c>
      <c r="D856" s="12" t="str">
        <f>IF(B856=0,"",COUNTIFS('Extração'!O:O,"Sim",'Extração'!J:J,A856)/B856)</f>
        <v/>
      </c>
      <c r="E856" s="12" t="str">
        <f>IF(B856=0,"",COUNTIFS('Extração'!N:N,"Parcialmente",'Extração'!J:J,A856)/B856)</f>
        <v/>
      </c>
      <c r="F856" s="12" t="str">
        <f>IF(B856=0,"",COUNTIFS('Extração'!O:O,"Parcialmente",'Extração'!J:J,A856)/B856)</f>
        <v/>
      </c>
      <c r="G856" s="12" t="str">
        <f>IF(B856=0,"",COUNTIFS('Extração'!N:N,"Não",'Extração'!J:J,A856)/B856)</f>
        <v/>
      </c>
      <c r="H856" s="12" t="str">
        <f>IF(B856=0,"",COUNTIFS('Extração'!O:O,"Não",'Extração'!J:J,A856)/B856)</f>
        <v/>
      </c>
      <c r="I856" s="12" t="str">
        <f>IF(B856=0,"",COUNTIFS('Extração'!P:P,"Igual",'Extração'!J:J,A856)/B856)</f>
        <v/>
      </c>
    </row>
    <row r="857">
      <c r="B857" s="12">
        <f>COUNTIF('Extração'!J:J,A857)</f>
        <v>0</v>
      </c>
      <c r="C857" s="12" t="str">
        <f>IF(B857=0,"",COUNTIFS('Extração'!N:N,"Sim",'Extração'!J:J,A857)/B857)</f>
        <v/>
      </c>
      <c r="D857" s="12" t="str">
        <f>IF(B857=0,"",COUNTIFS('Extração'!O:O,"Sim",'Extração'!J:J,A857)/B857)</f>
        <v/>
      </c>
      <c r="E857" s="12" t="str">
        <f>IF(B857=0,"",COUNTIFS('Extração'!N:N,"Parcialmente",'Extração'!J:J,A857)/B857)</f>
        <v/>
      </c>
      <c r="F857" s="12" t="str">
        <f>IF(B857=0,"",COUNTIFS('Extração'!O:O,"Parcialmente",'Extração'!J:J,A857)/B857)</f>
        <v/>
      </c>
      <c r="G857" s="12" t="str">
        <f>IF(B857=0,"",COUNTIFS('Extração'!N:N,"Não",'Extração'!J:J,A857)/B857)</f>
        <v/>
      </c>
      <c r="H857" s="12" t="str">
        <f>IF(B857=0,"",COUNTIFS('Extração'!O:O,"Não",'Extração'!J:J,A857)/B857)</f>
        <v/>
      </c>
      <c r="I857" s="12" t="str">
        <f>IF(B857=0,"",COUNTIFS('Extração'!P:P,"Igual",'Extração'!J:J,A857)/B857)</f>
        <v/>
      </c>
    </row>
    <row r="858">
      <c r="B858" s="12">
        <f>COUNTIF('Extração'!J:J,A858)</f>
        <v>0</v>
      </c>
      <c r="C858" s="12" t="str">
        <f>IF(B858=0,"",COUNTIFS('Extração'!N:N,"Sim",'Extração'!J:J,A858)/B858)</f>
        <v/>
      </c>
      <c r="D858" s="12" t="str">
        <f>IF(B858=0,"",COUNTIFS('Extração'!O:O,"Sim",'Extração'!J:J,A858)/B858)</f>
        <v/>
      </c>
      <c r="E858" s="12" t="str">
        <f>IF(B858=0,"",COUNTIFS('Extração'!N:N,"Parcialmente",'Extração'!J:J,A858)/B858)</f>
        <v/>
      </c>
      <c r="F858" s="12" t="str">
        <f>IF(B858=0,"",COUNTIFS('Extração'!O:O,"Parcialmente",'Extração'!J:J,A858)/B858)</f>
        <v/>
      </c>
      <c r="G858" s="12" t="str">
        <f>IF(B858=0,"",COUNTIFS('Extração'!N:N,"Não",'Extração'!J:J,A858)/B858)</f>
        <v/>
      </c>
      <c r="H858" s="12" t="str">
        <f>IF(B858=0,"",COUNTIFS('Extração'!O:O,"Não",'Extração'!J:J,A858)/B858)</f>
        <v/>
      </c>
      <c r="I858" s="12" t="str">
        <f>IF(B858=0,"",COUNTIFS('Extração'!P:P,"Igual",'Extração'!J:J,A858)/B858)</f>
        <v/>
      </c>
    </row>
    <row r="859">
      <c r="B859" s="12">
        <f>COUNTIF('Extração'!J:J,A859)</f>
        <v>0</v>
      </c>
      <c r="C859" s="12" t="str">
        <f>IF(B859=0,"",COUNTIFS('Extração'!N:N,"Sim",'Extração'!J:J,A859)/B859)</f>
        <v/>
      </c>
      <c r="D859" s="12" t="str">
        <f>IF(B859=0,"",COUNTIFS('Extração'!O:O,"Sim",'Extração'!J:J,A859)/B859)</f>
        <v/>
      </c>
      <c r="E859" s="12" t="str">
        <f>IF(B859=0,"",COUNTIFS('Extração'!N:N,"Parcialmente",'Extração'!J:J,A859)/B859)</f>
        <v/>
      </c>
      <c r="F859" s="12" t="str">
        <f>IF(B859=0,"",COUNTIFS('Extração'!O:O,"Parcialmente",'Extração'!J:J,A859)/B859)</f>
        <v/>
      </c>
      <c r="G859" s="12" t="str">
        <f>IF(B859=0,"",COUNTIFS('Extração'!N:N,"Não",'Extração'!J:J,A859)/B859)</f>
        <v/>
      </c>
      <c r="H859" s="12" t="str">
        <f>IF(B859=0,"",COUNTIFS('Extração'!O:O,"Não",'Extração'!J:J,A859)/B859)</f>
        <v/>
      </c>
      <c r="I859" s="12" t="str">
        <f>IF(B859=0,"",COUNTIFS('Extração'!P:P,"Igual",'Extração'!J:J,A859)/B859)</f>
        <v/>
      </c>
    </row>
    <row r="860">
      <c r="B860" s="12">
        <f>COUNTIF('Extração'!J:J,A860)</f>
        <v>0</v>
      </c>
      <c r="C860" s="12" t="str">
        <f>IF(B860=0,"",COUNTIFS('Extração'!N:N,"Sim",'Extração'!J:J,A860)/B860)</f>
        <v/>
      </c>
      <c r="D860" s="12" t="str">
        <f>IF(B860=0,"",COUNTIFS('Extração'!O:O,"Sim",'Extração'!J:J,A860)/B860)</f>
        <v/>
      </c>
      <c r="E860" s="12" t="str">
        <f>IF(B860=0,"",COUNTIFS('Extração'!N:N,"Parcialmente",'Extração'!J:J,A860)/B860)</f>
        <v/>
      </c>
      <c r="F860" s="12" t="str">
        <f>IF(B860=0,"",COUNTIFS('Extração'!O:O,"Parcialmente",'Extração'!J:J,A860)/B860)</f>
        <v/>
      </c>
      <c r="G860" s="12" t="str">
        <f>IF(B860=0,"",COUNTIFS('Extração'!N:N,"Não",'Extração'!J:J,A860)/B860)</f>
        <v/>
      </c>
      <c r="H860" s="12" t="str">
        <f>IF(B860=0,"",COUNTIFS('Extração'!O:O,"Não",'Extração'!J:J,A860)/B860)</f>
        <v/>
      </c>
      <c r="I860" s="12" t="str">
        <f>IF(B860=0,"",COUNTIFS('Extração'!P:P,"Igual",'Extração'!J:J,A860)/B860)</f>
        <v/>
      </c>
    </row>
    <row r="861">
      <c r="B861" s="12">
        <f>COUNTIF('Extração'!J:J,A861)</f>
        <v>0</v>
      </c>
      <c r="C861" s="12" t="str">
        <f>IF(B861=0,"",COUNTIFS('Extração'!N:N,"Sim",'Extração'!J:J,A861)/B861)</f>
        <v/>
      </c>
      <c r="D861" s="12" t="str">
        <f>IF(B861=0,"",COUNTIFS('Extração'!O:O,"Sim",'Extração'!J:J,A861)/B861)</f>
        <v/>
      </c>
      <c r="E861" s="12" t="str">
        <f>IF(B861=0,"",COUNTIFS('Extração'!N:N,"Parcialmente",'Extração'!J:J,A861)/B861)</f>
        <v/>
      </c>
      <c r="F861" s="12" t="str">
        <f>IF(B861=0,"",COUNTIFS('Extração'!O:O,"Parcialmente",'Extração'!J:J,A861)/B861)</f>
        <v/>
      </c>
      <c r="G861" s="12" t="str">
        <f>IF(B861=0,"",COUNTIFS('Extração'!N:N,"Não",'Extração'!J:J,A861)/B861)</f>
        <v/>
      </c>
      <c r="H861" s="12" t="str">
        <f>IF(B861=0,"",COUNTIFS('Extração'!O:O,"Não",'Extração'!J:J,A861)/B861)</f>
        <v/>
      </c>
      <c r="I861" s="12" t="str">
        <f>IF(B861=0,"",COUNTIFS('Extração'!P:P,"Igual",'Extração'!J:J,A861)/B861)</f>
        <v/>
      </c>
    </row>
    <row r="862">
      <c r="B862" s="12">
        <f>COUNTIF('Extração'!J:J,A862)</f>
        <v>0</v>
      </c>
      <c r="C862" s="12" t="str">
        <f>IF(B862=0,"",COUNTIFS('Extração'!N:N,"Sim",'Extração'!J:J,A862)/B862)</f>
        <v/>
      </c>
      <c r="D862" s="12" t="str">
        <f>IF(B862=0,"",COUNTIFS('Extração'!O:O,"Sim",'Extração'!J:J,A862)/B862)</f>
        <v/>
      </c>
      <c r="E862" s="12" t="str">
        <f>IF(B862=0,"",COUNTIFS('Extração'!N:N,"Parcialmente",'Extração'!J:J,A862)/B862)</f>
        <v/>
      </c>
      <c r="F862" s="12" t="str">
        <f>IF(B862=0,"",COUNTIFS('Extração'!O:O,"Parcialmente",'Extração'!J:J,A862)/B862)</f>
        <v/>
      </c>
      <c r="G862" s="12" t="str">
        <f>IF(B862=0,"",COUNTIFS('Extração'!N:N,"Não",'Extração'!J:J,A862)/B862)</f>
        <v/>
      </c>
      <c r="H862" s="12" t="str">
        <f>IF(B862=0,"",COUNTIFS('Extração'!O:O,"Não",'Extração'!J:J,A862)/B862)</f>
        <v/>
      </c>
      <c r="I862" s="12" t="str">
        <f>IF(B862=0,"",COUNTIFS('Extração'!P:P,"Igual",'Extração'!J:J,A862)/B862)</f>
        <v/>
      </c>
    </row>
    <row r="863">
      <c r="B863" s="12">
        <f>COUNTIF('Extração'!J:J,A863)</f>
        <v>0</v>
      </c>
      <c r="C863" s="12" t="str">
        <f>IF(B863=0,"",COUNTIFS('Extração'!N:N,"Sim",'Extração'!J:J,A863)/B863)</f>
        <v/>
      </c>
      <c r="D863" s="12" t="str">
        <f>IF(B863=0,"",COUNTIFS('Extração'!O:O,"Sim",'Extração'!J:J,A863)/B863)</f>
        <v/>
      </c>
      <c r="E863" s="12" t="str">
        <f>IF(B863=0,"",COUNTIFS('Extração'!N:N,"Parcialmente",'Extração'!J:J,A863)/B863)</f>
        <v/>
      </c>
      <c r="F863" s="12" t="str">
        <f>IF(B863=0,"",COUNTIFS('Extração'!O:O,"Parcialmente",'Extração'!J:J,A863)/B863)</f>
        <v/>
      </c>
      <c r="G863" s="12" t="str">
        <f>IF(B863=0,"",COUNTIFS('Extração'!N:N,"Não",'Extração'!J:J,A863)/B863)</f>
        <v/>
      </c>
      <c r="H863" s="12" t="str">
        <f>IF(B863=0,"",COUNTIFS('Extração'!O:O,"Não",'Extração'!J:J,A863)/B863)</f>
        <v/>
      </c>
      <c r="I863" s="12" t="str">
        <f>IF(B863=0,"",COUNTIFS('Extração'!P:P,"Igual",'Extração'!J:J,A863)/B863)</f>
        <v/>
      </c>
    </row>
    <row r="864">
      <c r="B864" s="12">
        <f>COUNTIF('Extração'!J:J,A864)</f>
        <v>0</v>
      </c>
      <c r="C864" s="12" t="str">
        <f>IF(B864=0,"",COUNTIFS('Extração'!N:N,"Sim",'Extração'!J:J,A864)/B864)</f>
        <v/>
      </c>
      <c r="D864" s="12" t="str">
        <f>IF(B864=0,"",COUNTIFS('Extração'!O:O,"Sim",'Extração'!J:J,A864)/B864)</f>
        <v/>
      </c>
      <c r="E864" s="12" t="str">
        <f>IF(B864=0,"",COUNTIFS('Extração'!N:N,"Parcialmente",'Extração'!J:J,A864)/B864)</f>
        <v/>
      </c>
      <c r="F864" s="12" t="str">
        <f>IF(B864=0,"",COUNTIFS('Extração'!O:O,"Parcialmente",'Extração'!J:J,A864)/B864)</f>
        <v/>
      </c>
      <c r="G864" s="12" t="str">
        <f>IF(B864=0,"",COUNTIFS('Extração'!N:N,"Não",'Extração'!J:J,A864)/B864)</f>
        <v/>
      </c>
      <c r="H864" s="12" t="str">
        <f>IF(B864=0,"",COUNTIFS('Extração'!O:O,"Não",'Extração'!J:J,A864)/B864)</f>
        <v/>
      </c>
      <c r="I864" s="12" t="str">
        <f>IF(B864=0,"",COUNTIFS('Extração'!P:P,"Igual",'Extração'!J:J,A864)/B864)</f>
        <v/>
      </c>
    </row>
    <row r="865">
      <c r="B865" s="12">
        <f>COUNTIF('Extração'!J:J,A865)</f>
        <v>0</v>
      </c>
      <c r="C865" s="12" t="str">
        <f>IF(B865=0,"",COUNTIFS('Extração'!N:N,"Sim",'Extração'!J:J,A865)/B865)</f>
        <v/>
      </c>
      <c r="D865" s="12" t="str">
        <f>IF(B865=0,"",COUNTIFS('Extração'!O:O,"Sim",'Extração'!J:J,A865)/B865)</f>
        <v/>
      </c>
      <c r="E865" s="12" t="str">
        <f>IF(B865=0,"",COUNTIFS('Extração'!N:N,"Parcialmente",'Extração'!J:J,A865)/B865)</f>
        <v/>
      </c>
      <c r="F865" s="12" t="str">
        <f>IF(B865=0,"",COUNTIFS('Extração'!O:O,"Parcialmente",'Extração'!J:J,A865)/B865)</f>
        <v/>
      </c>
      <c r="G865" s="12" t="str">
        <f>IF(B865=0,"",COUNTIFS('Extração'!N:N,"Não",'Extração'!J:J,A865)/B865)</f>
        <v/>
      </c>
      <c r="H865" s="12" t="str">
        <f>IF(B865=0,"",COUNTIFS('Extração'!O:O,"Não",'Extração'!J:J,A865)/B865)</f>
        <v/>
      </c>
      <c r="I865" s="12" t="str">
        <f>IF(B865=0,"",COUNTIFS('Extração'!P:P,"Igual",'Extração'!J:J,A865)/B865)</f>
        <v/>
      </c>
    </row>
    <row r="866">
      <c r="B866" s="12">
        <f>COUNTIF('Extração'!J:J,A866)</f>
        <v>0</v>
      </c>
      <c r="C866" s="12" t="str">
        <f>IF(B866=0,"",COUNTIFS('Extração'!N:N,"Sim",'Extração'!J:J,A866)/B866)</f>
        <v/>
      </c>
      <c r="D866" s="12" t="str">
        <f>IF(B866=0,"",COUNTIFS('Extração'!O:O,"Sim",'Extração'!J:J,A866)/B866)</f>
        <v/>
      </c>
      <c r="E866" s="12" t="str">
        <f>IF(B866=0,"",COUNTIFS('Extração'!N:N,"Parcialmente",'Extração'!J:J,A866)/B866)</f>
        <v/>
      </c>
      <c r="F866" s="12" t="str">
        <f>IF(B866=0,"",COUNTIFS('Extração'!O:O,"Parcialmente",'Extração'!J:J,A866)/B866)</f>
        <v/>
      </c>
      <c r="G866" s="12" t="str">
        <f>IF(B866=0,"",COUNTIFS('Extração'!N:N,"Não",'Extração'!J:J,A866)/B866)</f>
        <v/>
      </c>
      <c r="H866" s="12" t="str">
        <f>IF(B866=0,"",COUNTIFS('Extração'!O:O,"Não",'Extração'!J:J,A866)/B866)</f>
        <v/>
      </c>
      <c r="I866" s="12" t="str">
        <f>IF(B866=0,"",COUNTIFS('Extração'!P:P,"Igual",'Extração'!J:J,A866)/B866)</f>
        <v/>
      </c>
    </row>
    <row r="867">
      <c r="B867" s="12">
        <f>COUNTIF('Extração'!J:J,A867)</f>
        <v>0</v>
      </c>
      <c r="C867" s="12" t="str">
        <f>IF(B867=0,"",COUNTIFS('Extração'!N:N,"Sim",'Extração'!J:J,A867)/B867)</f>
        <v/>
      </c>
      <c r="D867" s="12" t="str">
        <f>IF(B867=0,"",COUNTIFS('Extração'!O:O,"Sim",'Extração'!J:J,A867)/B867)</f>
        <v/>
      </c>
      <c r="E867" s="12" t="str">
        <f>IF(B867=0,"",COUNTIFS('Extração'!N:N,"Parcialmente",'Extração'!J:J,A867)/B867)</f>
        <v/>
      </c>
      <c r="F867" s="12" t="str">
        <f>IF(B867=0,"",COUNTIFS('Extração'!O:O,"Parcialmente",'Extração'!J:J,A867)/B867)</f>
        <v/>
      </c>
      <c r="G867" s="12" t="str">
        <f>IF(B867=0,"",COUNTIFS('Extração'!N:N,"Não",'Extração'!J:J,A867)/B867)</f>
        <v/>
      </c>
      <c r="H867" s="12" t="str">
        <f>IF(B867=0,"",COUNTIFS('Extração'!O:O,"Não",'Extração'!J:J,A867)/B867)</f>
        <v/>
      </c>
      <c r="I867" s="12" t="str">
        <f>IF(B867=0,"",COUNTIFS('Extração'!P:P,"Igual",'Extração'!J:J,A867)/B867)</f>
        <v/>
      </c>
    </row>
    <row r="868">
      <c r="B868" s="12">
        <f>COUNTIF('Extração'!J:J,A868)</f>
        <v>0</v>
      </c>
      <c r="C868" s="12" t="str">
        <f>IF(B868=0,"",COUNTIFS('Extração'!N:N,"Sim",'Extração'!J:J,A868)/B868)</f>
        <v/>
      </c>
      <c r="D868" s="12" t="str">
        <f>IF(B868=0,"",COUNTIFS('Extração'!O:O,"Sim",'Extração'!J:J,A868)/B868)</f>
        <v/>
      </c>
      <c r="E868" s="12" t="str">
        <f>IF(B868=0,"",COUNTIFS('Extração'!N:N,"Parcialmente",'Extração'!J:J,A868)/B868)</f>
        <v/>
      </c>
      <c r="F868" s="12" t="str">
        <f>IF(B868=0,"",COUNTIFS('Extração'!O:O,"Parcialmente",'Extração'!J:J,A868)/B868)</f>
        <v/>
      </c>
      <c r="G868" s="12" t="str">
        <f>IF(B868=0,"",COUNTIFS('Extração'!N:N,"Não",'Extração'!J:J,A868)/B868)</f>
        <v/>
      </c>
      <c r="H868" s="12" t="str">
        <f>IF(B868=0,"",COUNTIFS('Extração'!O:O,"Não",'Extração'!J:J,A868)/B868)</f>
        <v/>
      </c>
      <c r="I868" s="12" t="str">
        <f>IF(B868=0,"",COUNTIFS('Extração'!P:P,"Igual",'Extração'!J:J,A868)/B868)</f>
        <v/>
      </c>
    </row>
    <row r="869">
      <c r="B869" s="12">
        <f>COUNTIF('Extração'!J:J,A869)</f>
        <v>0</v>
      </c>
      <c r="C869" s="12" t="str">
        <f>IF(B869=0,"",COUNTIFS('Extração'!N:N,"Sim",'Extração'!J:J,A869)/B869)</f>
        <v/>
      </c>
      <c r="D869" s="12" t="str">
        <f>IF(B869=0,"",COUNTIFS('Extração'!O:O,"Sim",'Extração'!J:J,A869)/B869)</f>
        <v/>
      </c>
      <c r="E869" s="12" t="str">
        <f>IF(B869=0,"",COUNTIFS('Extração'!N:N,"Parcialmente",'Extração'!J:J,A869)/B869)</f>
        <v/>
      </c>
      <c r="F869" s="12" t="str">
        <f>IF(B869=0,"",COUNTIFS('Extração'!O:O,"Parcialmente",'Extração'!J:J,A869)/B869)</f>
        <v/>
      </c>
      <c r="G869" s="12" t="str">
        <f>IF(B869=0,"",COUNTIFS('Extração'!N:N,"Não",'Extração'!J:J,A869)/B869)</f>
        <v/>
      </c>
      <c r="H869" s="12" t="str">
        <f>IF(B869=0,"",COUNTIFS('Extração'!O:O,"Não",'Extração'!J:J,A869)/B869)</f>
        <v/>
      </c>
      <c r="I869" s="12" t="str">
        <f>IF(B869=0,"",COUNTIFS('Extração'!P:P,"Igual",'Extração'!J:J,A869)/B869)</f>
        <v/>
      </c>
    </row>
    <row r="870">
      <c r="B870" s="12">
        <f>COUNTIF('Extração'!J:J,A870)</f>
        <v>0</v>
      </c>
      <c r="C870" s="12" t="str">
        <f>IF(B870=0,"",COUNTIFS('Extração'!N:N,"Sim",'Extração'!J:J,A870)/B870)</f>
        <v/>
      </c>
      <c r="D870" s="12" t="str">
        <f>IF(B870=0,"",COUNTIFS('Extração'!O:O,"Sim",'Extração'!J:J,A870)/B870)</f>
        <v/>
      </c>
      <c r="E870" s="12" t="str">
        <f>IF(B870=0,"",COUNTIFS('Extração'!N:N,"Parcialmente",'Extração'!J:J,A870)/B870)</f>
        <v/>
      </c>
      <c r="F870" s="12" t="str">
        <f>IF(B870=0,"",COUNTIFS('Extração'!O:O,"Parcialmente",'Extração'!J:J,A870)/B870)</f>
        <v/>
      </c>
      <c r="G870" s="12" t="str">
        <f>IF(B870=0,"",COUNTIFS('Extração'!N:N,"Não",'Extração'!J:J,A870)/B870)</f>
        <v/>
      </c>
      <c r="H870" s="12" t="str">
        <f>IF(B870=0,"",COUNTIFS('Extração'!O:O,"Não",'Extração'!J:J,A870)/B870)</f>
        <v/>
      </c>
      <c r="I870" s="12" t="str">
        <f>IF(B870=0,"",COUNTIFS('Extração'!P:P,"Igual",'Extração'!J:J,A870)/B870)</f>
        <v/>
      </c>
    </row>
    <row r="871">
      <c r="B871" s="12">
        <f>COUNTIF('Extração'!J:J,A871)</f>
        <v>0</v>
      </c>
      <c r="C871" s="12" t="str">
        <f>IF(B871=0,"",COUNTIFS('Extração'!N:N,"Sim",'Extração'!J:J,A871)/B871)</f>
        <v/>
      </c>
      <c r="D871" s="12" t="str">
        <f>IF(B871=0,"",COUNTIFS('Extração'!O:O,"Sim",'Extração'!J:J,A871)/B871)</f>
        <v/>
      </c>
      <c r="E871" s="12" t="str">
        <f>IF(B871=0,"",COUNTIFS('Extração'!N:N,"Parcialmente",'Extração'!J:J,A871)/B871)</f>
        <v/>
      </c>
      <c r="F871" s="12" t="str">
        <f>IF(B871=0,"",COUNTIFS('Extração'!O:O,"Parcialmente",'Extração'!J:J,A871)/B871)</f>
        <v/>
      </c>
      <c r="G871" s="12" t="str">
        <f>IF(B871=0,"",COUNTIFS('Extração'!N:N,"Não",'Extração'!J:J,A871)/B871)</f>
        <v/>
      </c>
      <c r="H871" s="12" t="str">
        <f>IF(B871=0,"",COUNTIFS('Extração'!O:O,"Não",'Extração'!J:J,A871)/B871)</f>
        <v/>
      </c>
      <c r="I871" s="12" t="str">
        <f>IF(B871=0,"",COUNTIFS('Extração'!P:P,"Igual",'Extração'!J:J,A871)/B871)</f>
        <v/>
      </c>
    </row>
    <row r="872">
      <c r="B872" s="12">
        <f>COUNTIF('Extração'!J:J,A872)</f>
        <v>0</v>
      </c>
      <c r="C872" s="12" t="str">
        <f>IF(B872=0,"",COUNTIFS('Extração'!N:N,"Sim",'Extração'!J:J,A872)/B872)</f>
        <v/>
      </c>
      <c r="D872" s="12" t="str">
        <f>IF(B872=0,"",COUNTIFS('Extração'!O:O,"Sim",'Extração'!J:J,A872)/B872)</f>
        <v/>
      </c>
      <c r="E872" s="12" t="str">
        <f>IF(B872=0,"",COUNTIFS('Extração'!N:N,"Parcialmente",'Extração'!J:J,A872)/B872)</f>
        <v/>
      </c>
      <c r="F872" s="12" t="str">
        <f>IF(B872=0,"",COUNTIFS('Extração'!O:O,"Parcialmente",'Extração'!J:J,A872)/B872)</f>
        <v/>
      </c>
      <c r="G872" s="12" t="str">
        <f>IF(B872=0,"",COUNTIFS('Extração'!N:N,"Não",'Extração'!J:J,A872)/B872)</f>
        <v/>
      </c>
      <c r="H872" s="12" t="str">
        <f>IF(B872=0,"",COUNTIFS('Extração'!O:O,"Não",'Extração'!J:J,A872)/B872)</f>
        <v/>
      </c>
      <c r="I872" s="12" t="str">
        <f>IF(B872=0,"",COUNTIFS('Extração'!P:P,"Igual",'Extração'!J:J,A872)/B872)</f>
        <v/>
      </c>
    </row>
    <row r="873">
      <c r="B873" s="12">
        <f>COUNTIF('Extração'!J:J,A873)</f>
        <v>0</v>
      </c>
      <c r="C873" s="12" t="str">
        <f>IF(B873=0,"",COUNTIFS('Extração'!N:N,"Sim",'Extração'!J:J,A873)/B873)</f>
        <v/>
      </c>
      <c r="D873" s="12" t="str">
        <f>IF(B873=0,"",COUNTIFS('Extração'!O:O,"Sim",'Extração'!J:J,A873)/B873)</f>
        <v/>
      </c>
      <c r="E873" s="12" t="str">
        <f>IF(B873=0,"",COUNTIFS('Extração'!N:N,"Parcialmente",'Extração'!J:J,A873)/B873)</f>
        <v/>
      </c>
      <c r="F873" s="12" t="str">
        <f>IF(B873=0,"",COUNTIFS('Extração'!O:O,"Parcialmente",'Extração'!J:J,A873)/B873)</f>
        <v/>
      </c>
      <c r="G873" s="12" t="str">
        <f>IF(B873=0,"",COUNTIFS('Extração'!N:N,"Não",'Extração'!J:J,A873)/B873)</f>
        <v/>
      </c>
      <c r="H873" s="12" t="str">
        <f>IF(B873=0,"",COUNTIFS('Extração'!O:O,"Não",'Extração'!J:J,A873)/B873)</f>
        <v/>
      </c>
      <c r="I873" s="12" t="str">
        <f>IF(B873=0,"",COUNTIFS('Extração'!P:P,"Igual",'Extração'!J:J,A873)/B873)</f>
        <v/>
      </c>
    </row>
    <row r="874">
      <c r="B874" s="12">
        <f>COUNTIF('Extração'!J:J,A874)</f>
        <v>0</v>
      </c>
      <c r="C874" s="12" t="str">
        <f>IF(B874=0,"",COUNTIFS('Extração'!N:N,"Sim",'Extração'!J:J,A874)/B874)</f>
        <v/>
      </c>
      <c r="D874" s="12" t="str">
        <f>IF(B874=0,"",COUNTIFS('Extração'!O:O,"Sim",'Extração'!J:J,A874)/B874)</f>
        <v/>
      </c>
      <c r="E874" s="12" t="str">
        <f>IF(B874=0,"",COUNTIFS('Extração'!N:N,"Parcialmente",'Extração'!J:J,A874)/B874)</f>
        <v/>
      </c>
      <c r="F874" s="12" t="str">
        <f>IF(B874=0,"",COUNTIFS('Extração'!O:O,"Parcialmente",'Extração'!J:J,A874)/B874)</f>
        <v/>
      </c>
      <c r="G874" s="12" t="str">
        <f>IF(B874=0,"",COUNTIFS('Extração'!N:N,"Não",'Extração'!J:J,A874)/B874)</f>
        <v/>
      </c>
      <c r="H874" s="12" t="str">
        <f>IF(B874=0,"",COUNTIFS('Extração'!O:O,"Não",'Extração'!J:J,A874)/B874)</f>
        <v/>
      </c>
      <c r="I874" s="12" t="str">
        <f>IF(B874=0,"",COUNTIFS('Extração'!P:P,"Igual",'Extração'!J:J,A874)/B874)</f>
        <v/>
      </c>
    </row>
    <row r="875">
      <c r="B875" s="12">
        <f>COUNTIF('Extração'!J:J,A875)</f>
        <v>0</v>
      </c>
      <c r="C875" s="12" t="str">
        <f>IF(B875=0,"",COUNTIFS('Extração'!N:N,"Sim",'Extração'!J:J,A875)/B875)</f>
        <v/>
      </c>
      <c r="D875" s="12" t="str">
        <f>IF(B875=0,"",COUNTIFS('Extração'!O:O,"Sim",'Extração'!J:J,A875)/B875)</f>
        <v/>
      </c>
      <c r="E875" s="12" t="str">
        <f>IF(B875=0,"",COUNTIFS('Extração'!N:N,"Parcialmente",'Extração'!J:J,A875)/B875)</f>
        <v/>
      </c>
      <c r="F875" s="12" t="str">
        <f>IF(B875=0,"",COUNTIFS('Extração'!O:O,"Parcialmente",'Extração'!J:J,A875)/B875)</f>
        <v/>
      </c>
      <c r="G875" s="12" t="str">
        <f>IF(B875=0,"",COUNTIFS('Extração'!N:N,"Não",'Extração'!J:J,A875)/B875)</f>
        <v/>
      </c>
      <c r="H875" s="12" t="str">
        <f>IF(B875=0,"",COUNTIFS('Extração'!O:O,"Não",'Extração'!J:J,A875)/B875)</f>
        <v/>
      </c>
      <c r="I875" s="12" t="str">
        <f>IF(B875=0,"",COUNTIFS('Extração'!P:P,"Igual",'Extração'!J:J,A875)/B875)</f>
        <v/>
      </c>
    </row>
    <row r="876">
      <c r="B876" s="12">
        <f>COUNTIF('Extração'!J:J,A876)</f>
        <v>0</v>
      </c>
      <c r="C876" s="12" t="str">
        <f>IF(B876=0,"",COUNTIFS('Extração'!N:N,"Sim",'Extração'!J:J,A876)/B876)</f>
        <v/>
      </c>
      <c r="D876" s="12" t="str">
        <f>IF(B876=0,"",COUNTIFS('Extração'!O:O,"Sim",'Extração'!J:J,A876)/B876)</f>
        <v/>
      </c>
      <c r="E876" s="12" t="str">
        <f>IF(B876=0,"",COUNTIFS('Extração'!N:N,"Parcialmente",'Extração'!J:J,A876)/B876)</f>
        <v/>
      </c>
      <c r="F876" s="12" t="str">
        <f>IF(B876=0,"",COUNTIFS('Extração'!O:O,"Parcialmente",'Extração'!J:J,A876)/B876)</f>
        <v/>
      </c>
      <c r="G876" s="12" t="str">
        <f>IF(B876=0,"",COUNTIFS('Extração'!N:N,"Não",'Extração'!J:J,A876)/B876)</f>
        <v/>
      </c>
      <c r="H876" s="12" t="str">
        <f>IF(B876=0,"",COUNTIFS('Extração'!O:O,"Não",'Extração'!J:J,A876)/B876)</f>
        <v/>
      </c>
      <c r="I876" s="12" t="str">
        <f>IF(B876=0,"",COUNTIFS('Extração'!P:P,"Igual",'Extração'!J:J,A876)/B876)</f>
        <v/>
      </c>
    </row>
    <row r="877">
      <c r="B877" s="12">
        <f>COUNTIF('Extração'!J:J,A877)</f>
        <v>0</v>
      </c>
      <c r="C877" s="12" t="str">
        <f>IF(B877=0,"",COUNTIFS('Extração'!N:N,"Sim",'Extração'!J:J,A877)/B877)</f>
        <v/>
      </c>
      <c r="D877" s="12" t="str">
        <f>IF(B877=0,"",COUNTIFS('Extração'!O:O,"Sim",'Extração'!J:J,A877)/B877)</f>
        <v/>
      </c>
      <c r="E877" s="12" t="str">
        <f>IF(B877=0,"",COUNTIFS('Extração'!N:N,"Parcialmente",'Extração'!J:J,A877)/B877)</f>
        <v/>
      </c>
      <c r="F877" s="12" t="str">
        <f>IF(B877=0,"",COUNTIFS('Extração'!O:O,"Parcialmente",'Extração'!J:J,A877)/B877)</f>
        <v/>
      </c>
      <c r="G877" s="12" t="str">
        <f>IF(B877=0,"",COUNTIFS('Extração'!N:N,"Não",'Extração'!J:J,A877)/B877)</f>
        <v/>
      </c>
      <c r="H877" s="12" t="str">
        <f>IF(B877=0,"",COUNTIFS('Extração'!O:O,"Não",'Extração'!J:J,A877)/B877)</f>
        <v/>
      </c>
      <c r="I877" s="12" t="str">
        <f>IF(B877=0,"",COUNTIFS('Extração'!P:P,"Igual",'Extração'!J:J,A877)/B877)</f>
        <v/>
      </c>
    </row>
    <row r="878">
      <c r="B878" s="12">
        <f>COUNTIF('Extração'!J:J,A878)</f>
        <v>0</v>
      </c>
      <c r="C878" s="12" t="str">
        <f>IF(B878=0,"",COUNTIFS('Extração'!N:N,"Sim",'Extração'!J:J,A878)/B878)</f>
        <v/>
      </c>
      <c r="D878" s="12" t="str">
        <f>IF(B878=0,"",COUNTIFS('Extração'!O:O,"Sim",'Extração'!J:J,A878)/B878)</f>
        <v/>
      </c>
      <c r="E878" s="12" t="str">
        <f>IF(B878=0,"",COUNTIFS('Extração'!N:N,"Parcialmente",'Extração'!J:J,A878)/B878)</f>
        <v/>
      </c>
      <c r="F878" s="12" t="str">
        <f>IF(B878=0,"",COUNTIFS('Extração'!O:O,"Parcialmente",'Extração'!J:J,A878)/B878)</f>
        <v/>
      </c>
      <c r="G878" s="12" t="str">
        <f>IF(B878=0,"",COUNTIFS('Extração'!N:N,"Não",'Extração'!J:J,A878)/B878)</f>
        <v/>
      </c>
      <c r="H878" s="12" t="str">
        <f>IF(B878=0,"",COUNTIFS('Extração'!O:O,"Não",'Extração'!J:J,A878)/B878)</f>
        <v/>
      </c>
      <c r="I878" s="12" t="str">
        <f>IF(B878=0,"",COUNTIFS('Extração'!P:P,"Igual",'Extração'!J:J,A878)/B878)</f>
        <v/>
      </c>
    </row>
    <row r="879">
      <c r="B879" s="12">
        <f>COUNTIF('Extração'!J:J,A879)</f>
        <v>0</v>
      </c>
      <c r="C879" s="12" t="str">
        <f>IF(B879=0,"",COUNTIFS('Extração'!N:N,"Sim",'Extração'!J:J,A879)/B879)</f>
        <v/>
      </c>
      <c r="D879" s="12" t="str">
        <f>IF(B879=0,"",COUNTIFS('Extração'!O:O,"Sim",'Extração'!J:J,A879)/B879)</f>
        <v/>
      </c>
      <c r="E879" s="12" t="str">
        <f>IF(B879=0,"",COUNTIFS('Extração'!N:N,"Parcialmente",'Extração'!J:J,A879)/B879)</f>
        <v/>
      </c>
      <c r="F879" s="12" t="str">
        <f>IF(B879=0,"",COUNTIFS('Extração'!O:O,"Parcialmente",'Extração'!J:J,A879)/B879)</f>
        <v/>
      </c>
      <c r="G879" s="12" t="str">
        <f>IF(B879=0,"",COUNTIFS('Extração'!N:N,"Não",'Extração'!J:J,A879)/B879)</f>
        <v/>
      </c>
      <c r="H879" s="12" t="str">
        <f>IF(B879=0,"",COUNTIFS('Extração'!O:O,"Não",'Extração'!J:J,A879)/B879)</f>
        <v/>
      </c>
      <c r="I879" s="12" t="str">
        <f>IF(B879=0,"",COUNTIFS('Extração'!P:P,"Igual",'Extração'!J:J,A879)/B879)</f>
        <v/>
      </c>
    </row>
    <row r="880">
      <c r="B880" s="12">
        <f>COUNTIF('Extração'!J:J,A880)</f>
        <v>0</v>
      </c>
      <c r="C880" s="12" t="str">
        <f>IF(B880=0,"",COUNTIFS('Extração'!N:N,"Sim",'Extração'!J:J,A880)/B880)</f>
        <v/>
      </c>
      <c r="D880" s="12" t="str">
        <f>IF(B880=0,"",COUNTIFS('Extração'!O:O,"Sim",'Extração'!J:J,A880)/B880)</f>
        <v/>
      </c>
      <c r="E880" s="12" t="str">
        <f>IF(B880=0,"",COUNTIFS('Extração'!N:N,"Parcialmente",'Extração'!J:J,A880)/B880)</f>
        <v/>
      </c>
      <c r="F880" s="12" t="str">
        <f>IF(B880=0,"",COUNTIFS('Extração'!O:O,"Parcialmente",'Extração'!J:J,A880)/B880)</f>
        <v/>
      </c>
      <c r="G880" s="12" t="str">
        <f>IF(B880=0,"",COUNTIFS('Extração'!N:N,"Não",'Extração'!J:J,A880)/B880)</f>
        <v/>
      </c>
      <c r="H880" s="12" t="str">
        <f>IF(B880=0,"",COUNTIFS('Extração'!O:O,"Não",'Extração'!J:J,A880)/B880)</f>
        <v/>
      </c>
      <c r="I880" s="12" t="str">
        <f>IF(B880=0,"",COUNTIFS('Extração'!P:P,"Igual",'Extração'!J:J,A880)/B880)</f>
        <v/>
      </c>
    </row>
    <row r="881">
      <c r="B881" s="12">
        <f>COUNTIF('Extração'!J:J,A881)</f>
        <v>0</v>
      </c>
      <c r="C881" s="12" t="str">
        <f>IF(B881=0,"",COUNTIFS('Extração'!N:N,"Sim",'Extração'!J:J,A881)/B881)</f>
        <v/>
      </c>
      <c r="D881" s="12" t="str">
        <f>IF(B881=0,"",COUNTIFS('Extração'!O:O,"Sim",'Extração'!J:J,A881)/B881)</f>
        <v/>
      </c>
      <c r="E881" s="12" t="str">
        <f>IF(B881=0,"",COUNTIFS('Extração'!N:N,"Parcialmente",'Extração'!J:J,A881)/B881)</f>
        <v/>
      </c>
      <c r="F881" s="12" t="str">
        <f>IF(B881=0,"",COUNTIFS('Extração'!O:O,"Parcialmente",'Extração'!J:J,A881)/B881)</f>
        <v/>
      </c>
      <c r="G881" s="12" t="str">
        <f>IF(B881=0,"",COUNTIFS('Extração'!N:N,"Não",'Extração'!J:J,A881)/B881)</f>
        <v/>
      </c>
      <c r="H881" s="12" t="str">
        <f>IF(B881=0,"",COUNTIFS('Extração'!O:O,"Não",'Extração'!J:J,A881)/B881)</f>
        <v/>
      </c>
      <c r="I881" s="12" t="str">
        <f>IF(B881=0,"",COUNTIFS('Extração'!P:P,"Igual",'Extração'!J:J,A881)/B881)</f>
        <v/>
      </c>
    </row>
    <row r="882">
      <c r="B882" s="12">
        <f>COUNTIF('Extração'!J:J,A882)</f>
        <v>0</v>
      </c>
      <c r="C882" s="12" t="str">
        <f>IF(B882=0,"",COUNTIFS('Extração'!N:N,"Sim",'Extração'!J:J,A882)/B882)</f>
        <v/>
      </c>
      <c r="D882" s="12" t="str">
        <f>IF(B882=0,"",COUNTIFS('Extração'!O:O,"Sim",'Extração'!J:J,A882)/B882)</f>
        <v/>
      </c>
      <c r="E882" s="12" t="str">
        <f>IF(B882=0,"",COUNTIFS('Extração'!N:N,"Parcialmente",'Extração'!J:J,A882)/B882)</f>
        <v/>
      </c>
      <c r="F882" s="12" t="str">
        <f>IF(B882=0,"",COUNTIFS('Extração'!O:O,"Parcialmente",'Extração'!J:J,A882)/B882)</f>
        <v/>
      </c>
      <c r="G882" s="12" t="str">
        <f>IF(B882=0,"",COUNTIFS('Extração'!N:N,"Não",'Extração'!J:J,A882)/B882)</f>
        <v/>
      </c>
      <c r="H882" s="12" t="str">
        <f>IF(B882=0,"",COUNTIFS('Extração'!O:O,"Não",'Extração'!J:J,A882)/B882)</f>
        <v/>
      </c>
      <c r="I882" s="12" t="str">
        <f>IF(B882=0,"",COUNTIFS('Extração'!P:P,"Igual",'Extração'!J:J,A882)/B882)</f>
        <v/>
      </c>
    </row>
    <row r="883">
      <c r="B883" s="12">
        <f>COUNTIF('Extração'!J:J,A883)</f>
        <v>0</v>
      </c>
      <c r="C883" s="12" t="str">
        <f>IF(B883=0,"",COUNTIFS('Extração'!N:N,"Sim",'Extração'!J:J,A883)/B883)</f>
        <v/>
      </c>
      <c r="D883" s="12" t="str">
        <f>IF(B883=0,"",COUNTIFS('Extração'!O:O,"Sim",'Extração'!J:J,A883)/B883)</f>
        <v/>
      </c>
      <c r="E883" s="12" t="str">
        <f>IF(B883=0,"",COUNTIFS('Extração'!N:N,"Parcialmente",'Extração'!J:J,A883)/B883)</f>
        <v/>
      </c>
      <c r="F883" s="12" t="str">
        <f>IF(B883=0,"",COUNTIFS('Extração'!O:O,"Parcialmente",'Extração'!J:J,A883)/B883)</f>
        <v/>
      </c>
      <c r="G883" s="12" t="str">
        <f>IF(B883=0,"",COUNTIFS('Extração'!N:N,"Não",'Extração'!J:J,A883)/B883)</f>
        <v/>
      </c>
      <c r="H883" s="12" t="str">
        <f>IF(B883=0,"",COUNTIFS('Extração'!O:O,"Não",'Extração'!J:J,A883)/B883)</f>
        <v/>
      </c>
      <c r="I883" s="12" t="str">
        <f>IF(B883=0,"",COUNTIFS('Extração'!P:P,"Igual",'Extração'!J:J,A883)/B883)</f>
        <v/>
      </c>
    </row>
    <row r="884">
      <c r="B884" s="12">
        <f>COUNTIF('Extração'!J:J,A884)</f>
        <v>0</v>
      </c>
      <c r="C884" s="12" t="str">
        <f>IF(B884=0,"",COUNTIFS('Extração'!N:N,"Sim",'Extração'!J:J,A884)/B884)</f>
        <v/>
      </c>
      <c r="D884" s="12" t="str">
        <f>IF(B884=0,"",COUNTIFS('Extração'!O:O,"Sim",'Extração'!J:J,A884)/B884)</f>
        <v/>
      </c>
      <c r="E884" s="12" t="str">
        <f>IF(B884=0,"",COUNTIFS('Extração'!N:N,"Parcialmente",'Extração'!J:J,A884)/B884)</f>
        <v/>
      </c>
      <c r="F884" s="12" t="str">
        <f>IF(B884=0,"",COUNTIFS('Extração'!O:O,"Parcialmente",'Extração'!J:J,A884)/B884)</f>
        <v/>
      </c>
      <c r="G884" s="12" t="str">
        <f>IF(B884=0,"",COUNTIFS('Extração'!N:N,"Não",'Extração'!J:J,A884)/B884)</f>
        <v/>
      </c>
      <c r="H884" s="12" t="str">
        <f>IF(B884=0,"",COUNTIFS('Extração'!O:O,"Não",'Extração'!J:J,A884)/B884)</f>
        <v/>
      </c>
      <c r="I884" s="12" t="str">
        <f>IF(B884=0,"",COUNTIFS('Extração'!P:P,"Igual",'Extração'!J:J,A884)/B884)</f>
        <v/>
      </c>
    </row>
    <row r="885">
      <c r="B885" s="12">
        <f>COUNTIF('Extração'!J:J,A885)</f>
        <v>0</v>
      </c>
      <c r="C885" s="12" t="str">
        <f>IF(B885=0,"",COUNTIFS('Extração'!N:N,"Sim",'Extração'!J:J,A885)/B885)</f>
        <v/>
      </c>
      <c r="D885" s="12" t="str">
        <f>IF(B885=0,"",COUNTIFS('Extração'!O:O,"Sim",'Extração'!J:J,A885)/B885)</f>
        <v/>
      </c>
      <c r="E885" s="12" t="str">
        <f>IF(B885=0,"",COUNTIFS('Extração'!N:N,"Parcialmente",'Extração'!J:J,A885)/B885)</f>
        <v/>
      </c>
      <c r="F885" s="12" t="str">
        <f>IF(B885=0,"",COUNTIFS('Extração'!O:O,"Parcialmente",'Extração'!J:J,A885)/B885)</f>
        <v/>
      </c>
      <c r="G885" s="12" t="str">
        <f>IF(B885=0,"",COUNTIFS('Extração'!N:N,"Não",'Extração'!J:J,A885)/B885)</f>
        <v/>
      </c>
      <c r="H885" s="12" t="str">
        <f>IF(B885=0,"",COUNTIFS('Extração'!O:O,"Não",'Extração'!J:J,A885)/B885)</f>
        <v/>
      </c>
      <c r="I885" s="12" t="str">
        <f>IF(B885=0,"",COUNTIFS('Extração'!P:P,"Igual",'Extração'!J:J,A885)/B885)</f>
        <v/>
      </c>
    </row>
    <row r="886">
      <c r="B886" s="12">
        <f>COUNTIF('Extração'!J:J,A886)</f>
        <v>0</v>
      </c>
      <c r="C886" s="12" t="str">
        <f>IF(B886=0,"",COUNTIFS('Extração'!N:N,"Sim",'Extração'!J:J,A886)/B886)</f>
        <v/>
      </c>
      <c r="D886" s="12" t="str">
        <f>IF(B886=0,"",COUNTIFS('Extração'!O:O,"Sim",'Extração'!J:J,A886)/B886)</f>
        <v/>
      </c>
      <c r="E886" s="12" t="str">
        <f>IF(B886=0,"",COUNTIFS('Extração'!N:N,"Parcialmente",'Extração'!J:J,A886)/B886)</f>
        <v/>
      </c>
      <c r="F886" s="12" t="str">
        <f>IF(B886=0,"",COUNTIFS('Extração'!O:O,"Parcialmente",'Extração'!J:J,A886)/B886)</f>
        <v/>
      </c>
      <c r="G886" s="12" t="str">
        <f>IF(B886=0,"",COUNTIFS('Extração'!N:N,"Não",'Extração'!J:J,A886)/B886)</f>
        <v/>
      </c>
      <c r="H886" s="12" t="str">
        <f>IF(B886=0,"",COUNTIFS('Extração'!O:O,"Não",'Extração'!J:J,A886)/B886)</f>
        <v/>
      </c>
      <c r="I886" s="12" t="str">
        <f>IF(B886=0,"",COUNTIFS('Extração'!P:P,"Igual",'Extração'!J:J,A886)/B886)</f>
        <v/>
      </c>
    </row>
    <row r="887">
      <c r="B887" s="12">
        <f>COUNTIF('Extração'!J:J,A887)</f>
        <v>0</v>
      </c>
      <c r="C887" s="12" t="str">
        <f>IF(B887=0,"",COUNTIFS('Extração'!N:N,"Sim",'Extração'!J:J,A887)/B887)</f>
        <v/>
      </c>
      <c r="D887" s="12" t="str">
        <f>IF(B887=0,"",COUNTIFS('Extração'!O:O,"Sim",'Extração'!J:J,A887)/B887)</f>
        <v/>
      </c>
      <c r="E887" s="12" t="str">
        <f>IF(B887=0,"",COUNTIFS('Extração'!N:N,"Parcialmente",'Extração'!J:J,A887)/B887)</f>
        <v/>
      </c>
      <c r="F887" s="12" t="str">
        <f>IF(B887=0,"",COUNTIFS('Extração'!O:O,"Parcialmente",'Extração'!J:J,A887)/B887)</f>
        <v/>
      </c>
      <c r="G887" s="12" t="str">
        <f>IF(B887=0,"",COUNTIFS('Extração'!N:N,"Não",'Extração'!J:J,A887)/B887)</f>
        <v/>
      </c>
      <c r="H887" s="12" t="str">
        <f>IF(B887=0,"",COUNTIFS('Extração'!O:O,"Não",'Extração'!J:J,A887)/B887)</f>
        <v/>
      </c>
      <c r="I887" s="12" t="str">
        <f>IF(B887=0,"",COUNTIFS('Extração'!P:P,"Igual",'Extração'!J:J,A887)/B887)</f>
        <v/>
      </c>
    </row>
    <row r="888">
      <c r="B888" s="12">
        <f>COUNTIF('Extração'!J:J,A888)</f>
        <v>0</v>
      </c>
      <c r="C888" s="12" t="str">
        <f>IF(B888=0,"",COUNTIFS('Extração'!N:N,"Sim",'Extração'!J:J,A888)/B888)</f>
        <v/>
      </c>
      <c r="D888" s="12" t="str">
        <f>IF(B888=0,"",COUNTIFS('Extração'!O:O,"Sim",'Extração'!J:J,A888)/B888)</f>
        <v/>
      </c>
      <c r="E888" s="12" t="str">
        <f>IF(B888=0,"",COUNTIFS('Extração'!N:N,"Parcialmente",'Extração'!J:J,A888)/B888)</f>
        <v/>
      </c>
      <c r="F888" s="12" t="str">
        <f>IF(B888=0,"",COUNTIFS('Extração'!O:O,"Parcialmente",'Extração'!J:J,A888)/B888)</f>
        <v/>
      </c>
      <c r="G888" s="12" t="str">
        <f>IF(B888=0,"",COUNTIFS('Extração'!N:N,"Não",'Extração'!J:J,A888)/B888)</f>
        <v/>
      </c>
      <c r="H888" s="12" t="str">
        <f>IF(B888=0,"",COUNTIFS('Extração'!O:O,"Não",'Extração'!J:J,A888)/B888)</f>
        <v/>
      </c>
      <c r="I888" s="12" t="str">
        <f>IF(B888=0,"",COUNTIFS('Extração'!P:P,"Igual",'Extração'!J:J,A888)/B888)</f>
        <v/>
      </c>
    </row>
    <row r="889">
      <c r="B889" s="12">
        <f>COUNTIF('Extração'!J:J,A889)</f>
        <v>0</v>
      </c>
      <c r="C889" s="12" t="str">
        <f>IF(B889=0,"",COUNTIFS('Extração'!N:N,"Sim",'Extração'!J:J,A889)/B889)</f>
        <v/>
      </c>
      <c r="D889" s="12" t="str">
        <f>IF(B889=0,"",COUNTIFS('Extração'!O:O,"Sim",'Extração'!J:J,A889)/B889)</f>
        <v/>
      </c>
      <c r="E889" s="12" t="str">
        <f>IF(B889=0,"",COUNTIFS('Extração'!N:N,"Parcialmente",'Extração'!J:J,A889)/B889)</f>
        <v/>
      </c>
      <c r="F889" s="12" t="str">
        <f>IF(B889=0,"",COUNTIFS('Extração'!O:O,"Parcialmente",'Extração'!J:J,A889)/B889)</f>
        <v/>
      </c>
      <c r="G889" s="12" t="str">
        <f>IF(B889=0,"",COUNTIFS('Extração'!N:N,"Não",'Extração'!J:J,A889)/B889)</f>
        <v/>
      </c>
      <c r="H889" s="12" t="str">
        <f>IF(B889=0,"",COUNTIFS('Extração'!O:O,"Não",'Extração'!J:J,A889)/B889)</f>
        <v/>
      </c>
      <c r="I889" s="12" t="str">
        <f>IF(B889=0,"",COUNTIFS('Extração'!P:P,"Igual",'Extração'!J:J,A889)/B889)</f>
        <v/>
      </c>
    </row>
    <row r="890">
      <c r="B890" s="12">
        <f>COUNTIF('Extração'!J:J,A890)</f>
        <v>0</v>
      </c>
      <c r="C890" s="12" t="str">
        <f>IF(B890=0,"",COUNTIFS('Extração'!N:N,"Sim",'Extração'!J:J,A890)/B890)</f>
        <v/>
      </c>
      <c r="D890" s="12" t="str">
        <f>IF(B890=0,"",COUNTIFS('Extração'!O:O,"Sim",'Extração'!J:J,A890)/B890)</f>
        <v/>
      </c>
      <c r="E890" s="12" t="str">
        <f>IF(B890=0,"",COUNTIFS('Extração'!N:N,"Parcialmente",'Extração'!J:J,A890)/B890)</f>
        <v/>
      </c>
      <c r="F890" s="12" t="str">
        <f>IF(B890=0,"",COUNTIFS('Extração'!O:O,"Parcialmente",'Extração'!J:J,A890)/B890)</f>
        <v/>
      </c>
      <c r="G890" s="12" t="str">
        <f>IF(B890=0,"",COUNTIFS('Extração'!N:N,"Não",'Extração'!J:J,A890)/B890)</f>
        <v/>
      </c>
      <c r="H890" s="12" t="str">
        <f>IF(B890=0,"",COUNTIFS('Extração'!O:O,"Não",'Extração'!J:J,A890)/B890)</f>
        <v/>
      </c>
      <c r="I890" s="12" t="str">
        <f>IF(B890=0,"",COUNTIFS('Extração'!P:P,"Igual",'Extração'!J:J,A890)/B890)</f>
        <v/>
      </c>
    </row>
    <row r="891">
      <c r="B891" s="12">
        <f>COUNTIF('Extração'!J:J,A891)</f>
        <v>0</v>
      </c>
      <c r="C891" s="12" t="str">
        <f>IF(B891=0,"",COUNTIFS('Extração'!N:N,"Sim",'Extração'!J:J,A891)/B891)</f>
        <v/>
      </c>
      <c r="D891" s="12" t="str">
        <f>IF(B891=0,"",COUNTIFS('Extração'!O:O,"Sim",'Extração'!J:J,A891)/B891)</f>
        <v/>
      </c>
      <c r="E891" s="12" t="str">
        <f>IF(B891=0,"",COUNTIFS('Extração'!N:N,"Parcialmente",'Extração'!J:J,A891)/B891)</f>
        <v/>
      </c>
      <c r="F891" s="12" t="str">
        <f>IF(B891=0,"",COUNTIFS('Extração'!O:O,"Parcialmente",'Extração'!J:J,A891)/B891)</f>
        <v/>
      </c>
      <c r="G891" s="12" t="str">
        <f>IF(B891=0,"",COUNTIFS('Extração'!N:N,"Não",'Extração'!J:J,A891)/B891)</f>
        <v/>
      </c>
      <c r="H891" s="12" t="str">
        <f>IF(B891=0,"",COUNTIFS('Extração'!O:O,"Não",'Extração'!J:J,A891)/B891)</f>
        <v/>
      </c>
      <c r="I891" s="12" t="str">
        <f>IF(B891=0,"",COUNTIFS('Extração'!P:P,"Igual",'Extração'!J:J,A891)/B891)</f>
        <v/>
      </c>
    </row>
    <row r="892">
      <c r="B892" s="12">
        <f>COUNTIF('Extração'!J:J,A892)</f>
        <v>0</v>
      </c>
      <c r="C892" s="12" t="str">
        <f>IF(B892=0,"",COUNTIFS('Extração'!N:N,"Sim",'Extração'!J:J,A892)/B892)</f>
        <v/>
      </c>
      <c r="D892" s="12" t="str">
        <f>IF(B892=0,"",COUNTIFS('Extração'!O:O,"Sim",'Extração'!J:J,A892)/B892)</f>
        <v/>
      </c>
      <c r="E892" s="12" t="str">
        <f>IF(B892=0,"",COUNTIFS('Extração'!N:N,"Parcialmente",'Extração'!J:J,A892)/B892)</f>
        <v/>
      </c>
      <c r="F892" s="12" t="str">
        <f>IF(B892=0,"",COUNTIFS('Extração'!O:O,"Parcialmente",'Extração'!J:J,A892)/B892)</f>
        <v/>
      </c>
      <c r="G892" s="12" t="str">
        <f>IF(B892=0,"",COUNTIFS('Extração'!N:N,"Não",'Extração'!J:J,A892)/B892)</f>
        <v/>
      </c>
      <c r="H892" s="12" t="str">
        <f>IF(B892=0,"",COUNTIFS('Extração'!O:O,"Não",'Extração'!J:J,A892)/B892)</f>
        <v/>
      </c>
      <c r="I892" s="12" t="str">
        <f>IF(B892=0,"",COUNTIFS('Extração'!P:P,"Igual",'Extração'!J:J,A892)/B892)</f>
        <v/>
      </c>
    </row>
    <row r="893">
      <c r="B893" s="12">
        <f>COUNTIF('Extração'!J:J,A893)</f>
        <v>0</v>
      </c>
      <c r="C893" s="12" t="str">
        <f>IF(B893=0,"",COUNTIFS('Extração'!N:N,"Sim",'Extração'!J:J,A893)/B893)</f>
        <v/>
      </c>
      <c r="D893" s="12" t="str">
        <f>IF(B893=0,"",COUNTIFS('Extração'!O:O,"Sim",'Extração'!J:J,A893)/B893)</f>
        <v/>
      </c>
      <c r="E893" s="12" t="str">
        <f>IF(B893=0,"",COUNTIFS('Extração'!N:N,"Parcialmente",'Extração'!J:J,A893)/B893)</f>
        <v/>
      </c>
      <c r="F893" s="12" t="str">
        <f>IF(B893=0,"",COUNTIFS('Extração'!O:O,"Parcialmente",'Extração'!J:J,A893)/B893)</f>
        <v/>
      </c>
      <c r="G893" s="12" t="str">
        <f>IF(B893=0,"",COUNTIFS('Extração'!N:N,"Não",'Extração'!J:J,A893)/B893)</f>
        <v/>
      </c>
      <c r="H893" s="12" t="str">
        <f>IF(B893=0,"",COUNTIFS('Extração'!O:O,"Não",'Extração'!J:J,A893)/B893)</f>
        <v/>
      </c>
      <c r="I893" s="12" t="str">
        <f>IF(B893=0,"",COUNTIFS('Extração'!P:P,"Igual",'Extração'!J:J,A893)/B893)</f>
        <v/>
      </c>
    </row>
    <row r="894">
      <c r="B894" s="12">
        <f>COUNTIF('Extração'!J:J,A894)</f>
        <v>0</v>
      </c>
      <c r="C894" s="12" t="str">
        <f>IF(B894=0,"",COUNTIFS('Extração'!N:N,"Sim",'Extração'!J:J,A894)/B894)</f>
        <v/>
      </c>
      <c r="D894" s="12" t="str">
        <f>IF(B894=0,"",COUNTIFS('Extração'!O:O,"Sim",'Extração'!J:J,A894)/B894)</f>
        <v/>
      </c>
      <c r="E894" s="12" t="str">
        <f>IF(B894=0,"",COUNTIFS('Extração'!N:N,"Parcialmente",'Extração'!J:J,A894)/B894)</f>
        <v/>
      </c>
      <c r="F894" s="12" t="str">
        <f>IF(B894=0,"",COUNTIFS('Extração'!O:O,"Parcialmente",'Extração'!J:J,A894)/B894)</f>
        <v/>
      </c>
      <c r="G894" s="12" t="str">
        <f>IF(B894=0,"",COUNTIFS('Extração'!N:N,"Não",'Extração'!J:J,A894)/B894)</f>
        <v/>
      </c>
      <c r="H894" s="12" t="str">
        <f>IF(B894=0,"",COUNTIFS('Extração'!O:O,"Não",'Extração'!J:J,A894)/B894)</f>
        <v/>
      </c>
      <c r="I894" s="12" t="str">
        <f>IF(B894=0,"",COUNTIFS('Extração'!P:P,"Igual",'Extração'!J:J,A894)/B894)</f>
        <v/>
      </c>
    </row>
    <row r="895">
      <c r="B895" s="12">
        <f>COUNTIF('Extração'!J:J,A895)</f>
        <v>0</v>
      </c>
      <c r="C895" s="12" t="str">
        <f>IF(B895=0,"",COUNTIFS('Extração'!N:N,"Sim",'Extração'!J:J,A895)/B895)</f>
        <v/>
      </c>
      <c r="D895" s="12" t="str">
        <f>IF(B895=0,"",COUNTIFS('Extração'!O:O,"Sim",'Extração'!J:J,A895)/B895)</f>
        <v/>
      </c>
      <c r="E895" s="12" t="str">
        <f>IF(B895=0,"",COUNTIFS('Extração'!N:N,"Parcialmente",'Extração'!J:J,A895)/B895)</f>
        <v/>
      </c>
      <c r="F895" s="12" t="str">
        <f>IF(B895=0,"",COUNTIFS('Extração'!O:O,"Parcialmente",'Extração'!J:J,A895)/B895)</f>
        <v/>
      </c>
      <c r="G895" s="12" t="str">
        <f>IF(B895=0,"",COUNTIFS('Extração'!N:N,"Não",'Extração'!J:J,A895)/B895)</f>
        <v/>
      </c>
      <c r="H895" s="12" t="str">
        <f>IF(B895=0,"",COUNTIFS('Extração'!O:O,"Não",'Extração'!J:J,A895)/B895)</f>
        <v/>
      </c>
      <c r="I895" s="12" t="str">
        <f>IF(B895=0,"",COUNTIFS('Extração'!P:P,"Igual",'Extração'!J:J,A895)/B895)</f>
        <v/>
      </c>
    </row>
    <row r="896">
      <c r="B896" s="12">
        <f>COUNTIF('Extração'!J:J,A896)</f>
        <v>0</v>
      </c>
      <c r="C896" s="12" t="str">
        <f>IF(B896=0,"",COUNTIFS('Extração'!N:N,"Sim",'Extração'!J:J,A896)/B896)</f>
        <v/>
      </c>
      <c r="D896" s="12" t="str">
        <f>IF(B896=0,"",COUNTIFS('Extração'!O:O,"Sim",'Extração'!J:J,A896)/B896)</f>
        <v/>
      </c>
      <c r="E896" s="12" t="str">
        <f>IF(B896=0,"",COUNTIFS('Extração'!N:N,"Parcialmente",'Extração'!J:J,A896)/B896)</f>
        <v/>
      </c>
      <c r="F896" s="12" t="str">
        <f>IF(B896=0,"",COUNTIFS('Extração'!O:O,"Parcialmente",'Extração'!J:J,A896)/B896)</f>
        <v/>
      </c>
      <c r="G896" s="12" t="str">
        <f>IF(B896=0,"",COUNTIFS('Extração'!N:N,"Não",'Extração'!J:J,A896)/B896)</f>
        <v/>
      </c>
      <c r="H896" s="12" t="str">
        <f>IF(B896=0,"",COUNTIFS('Extração'!O:O,"Não",'Extração'!J:J,A896)/B896)</f>
        <v/>
      </c>
      <c r="I896" s="12" t="str">
        <f>IF(B896=0,"",COUNTIFS('Extração'!P:P,"Igual",'Extração'!J:J,A896)/B896)</f>
        <v/>
      </c>
    </row>
    <row r="897">
      <c r="B897" s="12">
        <f>COUNTIF('Extração'!J:J,A897)</f>
        <v>0</v>
      </c>
      <c r="C897" s="12" t="str">
        <f>IF(B897=0,"",COUNTIFS('Extração'!N:N,"Sim",'Extração'!J:J,A897)/B897)</f>
        <v/>
      </c>
      <c r="D897" s="12" t="str">
        <f>IF(B897=0,"",COUNTIFS('Extração'!O:O,"Sim",'Extração'!J:J,A897)/B897)</f>
        <v/>
      </c>
      <c r="E897" s="12" t="str">
        <f>IF(B897=0,"",COUNTIFS('Extração'!N:N,"Parcialmente",'Extração'!J:J,A897)/B897)</f>
        <v/>
      </c>
      <c r="F897" s="12" t="str">
        <f>IF(B897=0,"",COUNTIFS('Extração'!O:O,"Parcialmente",'Extração'!J:J,A897)/B897)</f>
        <v/>
      </c>
      <c r="G897" s="12" t="str">
        <f>IF(B897=0,"",COUNTIFS('Extração'!N:N,"Não",'Extração'!J:J,A897)/B897)</f>
        <v/>
      </c>
      <c r="H897" s="12" t="str">
        <f>IF(B897=0,"",COUNTIFS('Extração'!O:O,"Não",'Extração'!J:J,A897)/B897)</f>
        <v/>
      </c>
      <c r="I897" s="12" t="str">
        <f>IF(B897=0,"",COUNTIFS('Extração'!P:P,"Igual",'Extração'!J:J,A897)/B897)</f>
        <v/>
      </c>
    </row>
    <row r="898">
      <c r="B898" s="12">
        <f>COUNTIF('Extração'!J:J,A898)</f>
        <v>0</v>
      </c>
      <c r="C898" s="12" t="str">
        <f>IF(B898=0,"",COUNTIFS('Extração'!N:N,"Sim",'Extração'!J:J,A898)/B898)</f>
        <v/>
      </c>
      <c r="D898" s="12" t="str">
        <f>IF(B898=0,"",COUNTIFS('Extração'!O:O,"Sim",'Extração'!J:J,A898)/B898)</f>
        <v/>
      </c>
      <c r="E898" s="12" t="str">
        <f>IF(B898=0,"",COUNTIFS('Extração'!N:N,"Parcialmente",'Extração'!J:J,A898)/B898)</f>
        <v/>
      </c>
      <c r="F898" s="12" t="str">
        <f>IF(B898=0,"",COUNTIFS('Extração'!O:O,"Parcialmente",'Extração'!J:J,A898)/B898)</f>
        <v/>
      </c>
      <c r="G898" s="12" t="str">
        <f>IF(B898=0,"",COUNTIFS('Extração'!N:N,"Não",'Extração'!J:J,A898)/B898)</f>
        <v/>
      </c>
      <c r="H898" s="12" t="str">
        <f>IF(B898=0,"",COUNTIFS('Extração'!O:O,"Não",'Extração'!J:J,A898)/B898)</f>
        <v/>
      </c>
      <c r="I898" s="12" t="str">
        <f>IF(B898=0,"",COUNTIFS('Extração'!P:P,"Igual",'Extração'!J:J,A898)/B898)</f>
        <v/>
      </c>
    </row>
    <row r="899">
      <c r="B899" s="12">
        <f>COUNTIF('Extração'!J:J,A899)</f>
        <v>0</v>
      </c>
      <c r="C899" s="12" t="str">
        <f>IF(B899=0,"",COUNTIFS('Extração'!N:N,"Sim",'Extração'!J:J,A899)/B899)</f>
        <v/>
      </c>
      <c r="D899" s="12" t="str">
        <f>IF(B899=0,"",COUNTIFS('Extração'!O:O,"Sim",'Extração'!J:J,A899)/B899)</f>
        <v/>
      </c>
      <c r="E899" s="12" t="str">
        <f>IF(B899=0,"",COUNTIFS('Extração'!N:N,"Parcialmente",'Extração'!J:J,A899)/B899)</f>
        <v/>
      </c>
      <c r="F899" s="12" t="str">
        <f>IF(B899=0,"",COUNTIFS('Extração'!O:O,"Parcialmente",'Extração'!J:J,A899)/B899)</f>
        <v/>
      </c>
      <c r="G899" s="12" t="str">
        <f>IF(B899=0,"",COUNTIFS('Extração'!N:N,"Não",'Extração'!J:J,A899)/B899)</f>
        <v/>
      </c>
      <c r="H899" s="12" t="str">
        <f>IF(B899=0,"",COUNTIFS('Extração'!O:O,"Não",'Extração'!J:J,A899)/B899)</f>
        <v/>
      </c>
      <c r="I899" s="12" t="str">
        <f>IF(B899=0,"",COUNTIFS('Extração'!P:P,"Igual",'Extração'!J:J,A899)/B899)</f>
        <v/>
      </c>
    </row>
    <row r="900">
      <c r="B900" s="12">
        <f>COUNTIF('Extração'!J:J,A900)</f>
        <v>0</v>
      </c>
      <c r="C900" s="12" t="str">
        <f>IF(B900=0,"",COUNTIFS('Extração'!N:N,"Sim",'Extração'!J:J,A900)/B900)</f>
        <v/>
      </c>
      <c r="D900" s="12" t="str">
        <f>IF(B900=0,"",COUNTIFS('Extração'!O:O,"Sim",'Extração'!J:J,A900)/B900)</f>
        <v/>
      </c>
      <c r="E900" s="12" t="str">
        <f>IF(B900=0,"",COUNTIFS('Extração'!N:N,"Parcialmente",'Extração'!J:J,A900)/B900)</f>
        <v/>
      </c>
      <c r="F900" s="12" t="str">
        <f>IF(B900=0,"",COUNTIFS('Extração'!O:O,"Parcialmente",'Extração'!J:J,A900)/B900)</f>
        <v/>
      </c>
      <c r="G900" s="12" t="str">
        <f>IF(B900=0,"",COUNTIFS('Extração'!N:N,"Não",'Extração'!J:J,A900)/B900)</f>
        <v/>
      </c>
      <c r="H900" s="12" t="str">
        <f>IF(B900=0,"",COUNTIFS('Extração'!O:O,"Não",'Extração'!J:J,A900)/B900)</f>
        <v/>
      </c>
      <c r="I900" s="12" t="str">
        <f>IF(B900=0,"",COUNTIFS('Extração'!P:P,"Igual",'Extração'!J:J,A900)/B900)</f>
        <v/>
      </c>
    </row>
    <row r="901">
      <c r="B901" s="12">
        <f>COUNTIF('Extração'!J:J,A901)</f>
        <v>0</v>
      </c>
      <c r="C901" s="12" t="str">
        <f>IF(B901=0,"",COUNTIFS('Extração'!N:N,"Sim",'Extração'!J:J,A901)/B901)</f>
        <v/>
      </c>
      <c r="D901" s="12" t="str">
        <f>IF(B901=0,"",COUNTIFS('Extração'!O:O,"Sim",'Extração'!J:J,A901)/B901)</f>
        <v/>
      </c>
      <c r="E901" s="12" t="str">
        <f>IF(B901=0,"",COUNTIFS('Extração'!N:N,"Parcialmente",'Extração'!J:J,A901)/B901)</f>
        <v/>
      </c>
      <c r="F901" s="12" t="str">
        <f>IF(B901=0,"",COUNTIFS('Extração'!O:O,"Parcialmente",'Extração'!J:J,A901)/B901)</f>
        <v/>
      </c>
      <c r="G901" s="12" t="str">
        <f>IF(B901=0,"",COUNTIFS('Extração'!N:N,"Não",'Extração'!J:J,A901)/B901)</f>
        <v/>
      </c>
      <c r="H901" s="12" t="str">
        <f>IF(B901=0,"",COUNTIFS('Extração'!O:O,"Não",'Extração'!J:J,A901)/B901)</f>
        <v/>
      </c>
      <c r="I901" s="12" t="str">
        <f>IF(B901=0,"",COUNTIFS('Extração'!P:P,"Igual",'Extração'!J:J,A901)/B901)</f>
        <v/>
      </c>
    </row>
    <row r="902">
      <c r="B902" s="12">
        <f>COUNTIF('Extração'!J:J,A902)</f>
        <v>0</v>
      </c>
      <c r="C902" s="12" t="str">
        <f>IF(B902=0,"",COUNTIFS('Extração'!N:N,"Sim",'Extração'!J:J,A902)/B902)</f>
        <v/>
      </c>
      <c r="D902" s="12" t="str">
        <f>IF(B902=0,"",COUNTIFS('Extração'!O:O,"Sim",'Extração'!J:J,A902)/B902)</f>
        <v/>
      </c>
      <c r="E902" s="12" t="str">
        <f>IF(B902=0,"",COUNTIFS('Extração'!N:N,"Parcialmente",'Extração'!J:J,A902)/B902)</f>
        <v/>
      </c>
      <c r="F902" s="12" t="str">
        <f>IF(B902=0,"",COUNTIFS('Extração'!O:O,"Parcialmente",'Extração'!J:J,A902)/B902)</f>
        <v/>
      </c>
      <c r="G902" s="12" t="str">
        <f>IF(B902=0,"",COUNTIFS('Extração'!N:N,"Não",'Extração'!J:J,A902)/B902)</f>
        <v/>
      </c>
      <c r="H902" s="12" t="str">
        <f>IF(B902=0,"",COUNTIFS('Extração'!O:O,"Não",'Extração'!J:J,A902)/B902)</f>
        <v/>
      </c>
      <c r="I902" s="12" t="str">
        <f>IF(B902=0,"",COUNTIFS('Extração'!P:P,"Igual",'Extração'!J:J,A902)/B902)</f>
        <v/>
      </c>
    </row>
    <row r="903">
      <c r="B903" s="12">
        <f>COUNTIF('Extração'!J:J,A903)</f>
        <v>0</v>
      </c>
      <c r="C903" s="12" t="str">
        <f>IF(B903=0,"",COUNTIFS('Extração'!N:N,"Sim",'Extração'!J:J,A903)/B903)</f>
        <v/>
      </c>
      <c r="D903" s="12" t="str">
        <f>IF(B903=0,"",COUNTIFS('Extração'!O:O,"Sim",'Extração'!J:J,A903)/B903)</f>
        <v/>
      </c>
      <c r="E903" s="12" t="str">
        <f>IF(B903=0,"",COUNTIFS('Extração'!N:N,"Parcialmente",'Extração'!J:J,A903)/B903)</f>
        <v/>
      </c>
      <c r="F903" s="12" t="str">
        <f>IF(B903=0,"",COUNTIFS('Extração'!O:O,"Parcialmente",'Extração'!J:J,A903)/B903)</f>
        <v/>
      </c>
      <c r="G903" s="12" t="str">
        <f>IF(B903=0,"",COUNTIFS('Extração'!N:N,"Não",'Extração'!J:J,A903)/B903)</f>
        <v/>
      </c>
      <c r="H903" s="12" t="str">
        <f>IF(B903=0,"",COUNTIFS('Extração'!O:O,"Não",'Extração'!J:J,A903)/B903)</f>
        <v/>
      </c>
      <c r="I903" s="12" t="str">
        <f>IF(B903=0,"",COUNTIFS('Extração'!P:P,"Igual",'Extração'!J:J,A903)/B903)</f>
        <v/>
      </c>
    </row>
    <row r="904">
      <c r="B904" s="12">
        <f>COUNTIF('Extração'!J:J,A904)</f>
        <v>0</v>
      </c>
      <c r="C904" s="12" t="str">
        <f>IF(B904=0,"",COUNTIFS('Extração'!N:N,"Sim",'Extração'!J:J,A904)/B904)</f>
        <v/>
      </c>
      <c r="D904" s="12" t="str">
        <f>IF(B904=0,"",COUNTIFS('Extração'!O:O,"Sim",'Extração'!J:J,A904)/B904)</f>
        <v/>
      </c>
      <c r="E904" s="12" t="str">
        <f>IF(B904=0,"",COUNTIFS('Extração'!N:N,"Parcialmente",'Extração'!J:J,A904)/B904)</f>
        <v/>
      </c>
      <c r="F904" s="12" t="str">
        <f>IF(B904=0,"",COUNTIFS('Extração'!O:O,"Parcialmente",'Extração'!J:J,A904)/B904)</f>
        <v/>
      </c>
      <c r="G904" s="12" t="str">
        <f>IF(B904=0,"",COUNTIFS('Extração'!N:N,"Não",'Extração'!J:J,A904)/B904)</f>
        <v/>
      </c>
      <c r="H904" s="12" t="str">
        <f>IF(B904=0,"",COUNTIFS('Extração'!O:O,"Não",'Extração'!J:J,A904)/B904)</f>
        <v/>
      </c>
      <c r="I904" s="12" t="str">
        <f>IF(B904=0,"",COUNTIFS('Extração'!P:P,"Igual",'Extração'!J:J,A904)/B904)</f>
        <v/>
      </c>
    </row>
    <row r="905">
      <c r="B905" s="12">
        <f>COUNTIF('Extração'!J:J,A905)</f>
        <v>0</v>
      </c>
      <c r="C905" s="12" t="str">
        <f>IF(B905=0,"",COUNTIFS('Extração'!N:N,"Sim",'Extração'!J:J,A905)/B905)</f>
        <v/>
      </c>
      <c r="D905" s="12" t="str">
        <f>IF(B905=0,"",COUNTIFS('Extração'!O:O,"Sim",'Extração'!J:J,A905)/B905)</f>
        <v/>
      </c>
      <c r="E905" s="12" t="str">
        <f>IF(B905=0,"",COUNTIFS('Extração'!N:N,"Parcialmente",'Extração'!J:J,A905)/B905)</f>
        <v/>
      </c>
      <c r="F905" s="12" t="str">
        <f>IF(B905=0,"",COUNTIFS('Extração'!O:O,"Parcialmente",'Extração'!J:J,A905)/B905)</f>
        <v/>
      </c>
      <c r="G905" s="12" t="str">
        <f>IF(B905=0,"",COUNTIFS('Extração'!N:N,"Não",'Extração'!J:J,A905)/B905)</f>
        <v/>
      </c>
      <c r="H905" s="12" t="str">
        <f>IF(B905=0,"",COUNTIFS('Extração'!O:O,"Não",'Extração'!J:J,A905)/B905)</f>
        <v/>
      </c>
      <c r="I905" s="12" t="str">
        <f>IF(B905=0,"",COUNTIFS('Extração'!P:P,"Igual",'Extração'!J:J,A905)/B905)</f>
        <v/>
      </c>
    </row>
    <row r="906">
      <c r="B906" s="12">
        <f>COUNTIF('Extração'!J:J,A906)</f>
        <v>0</v>
      </c>
      <c r="C906" s="12" t="str">
        <f>IF(B906=0,"",COUNTIFS('Extração'!N:N,"Sim",'Extração'!J:J,A906)/B906)</f>
        <v/>
      </c>
      <c r="D906" s="12" t="str">
        <f>IF(B906=0,"",COUNTIFS('Extração'!O:O,"Sim",'Extração'!J:J,A906)/B906)</f>
        <v/>
      </c>
      <c r="E906" s="12" t="str">
        <f>IF(B906=0,"",COUNTIFS('Extração'!N:N,"Parcialmente",'Extração'!J:J,A906)/B906)</f>
        <v/>
      </c>
      <c r="F906" s="12" t="str">
        <f>IF(B906=0,"",COUNTIFS('Extração'!O:O,"Parcialmente",'Extração'!J:J,A906)/B906)</f>
        <v/>
      </c>
      <c r="G906" s="12" t="str">
        <f>IF(B906=0,"",COUNTIFS('Extração'!N:N,"Não",'Extração'!J:J,A906)/B906)</f>
        <v/>
      </c>
      <c r="H906" s="12" t="str">
        <f>IF(B906=0,"",COUNTIFS('Extração'!O:O,"Não",'Extração'!J:J,A906)/B906)</f>
        <v/>
      </c>
      <c r="I906" s="12" t="str">
        <f>IF(B906=0,"",COUNTIFS('Extração'!P:P,"Igual",'Extração'!J:J,A906)/B906)</f>
        <v/>
      </c>
    </row>
    <row r="907">
      <c r="B907" s="12">
        <f>COUNTIF('Extração'!J:J,A907)</f>
        <v>0</v>
      </c>
      <c r="C907" s="12" t="str">
        <f>IF(B907=0,"",COUNTIFS('Extração'!N:N,"Sim",'Extração'!J:J,A907)/B907)</f>
        <v/>
      </c>
      <c r="D907" s="12" t="str">
        <f>IF(B907=0,"",COUNTIFS('Extração'!O:O,"Sim",'Extração'!J:J,A907)/B907)</f>
        <v/>
      </c>
      <c r="E907" s="12" t="str">
        <f>IF(B907=0,"",COUNTIFS('Extração'!N:N,"Parcialmente",'Extração'!J:J,A907)/B907)</f>
        <v/>
      </c>
      <c r="F907" s="12" t="str">
        <f>IF(B907=0,"",COUNTIFS('Extração'!O:O,"Parcialmente",'Extração'!J:J,A907)/B907)</f>
        <v/>
      </c>
      <c r="G907" s="12" t="str">
        <f>IF(B907=0,"",COUNTIFS('Extração'!N:N,"Não",'Extração'!J:J,A907)/B907)</f>
        <v/>
      </c>
      <c r="H907" s="12" t="str">
        <f>IF(B907=0,"",COUNTIFS('Extração'!O:O,"Não",'Extração'!J:J,A907)/B907)</f>
        <v/>
      </c>
      <c r="I907" s="12" t="str">
        <f>IF(B907=0,"",COUNTIFS('Extração'!P:P,"Igual",'Extração'!J:J,A907)/B907)</f>
        <v/>
      </c>
    </row>
    <row r="908">
      <c r="B908" s="12">
        <f>COUNTIF('Extração'!J:J,A908)</f>
        <v>0</v>
      </c>
      <c r="C908" s="12" t="str">
        <f>IF(B908=0,"",COUNTIFS('Extração'!N:N,"Sim",'Extração'!J:J,A908)/B908)</f>
        <v/>
      </c>
      <c r="D908" s="12" t="str">
        <f>IF(B908=0,"",COUNTIFS('Extração'!O:O,"Sim",'Extração'!J:J,A908)/B908)</f>
        <v/>
      </c>
      <c r="E908" s="12" t="str">
        <f>IF(B908=0,"",COUNTIFS('Extração'!N:N,"Parcialmente",'Extração'!J:J,A908)/B908)</f>
        <v/>
      </c>
      <c r="F908" s="12" t="str">
        <f>IF(B908=0,"",COUNTIFS('Extração'!O:O,"Parcialmente",'Extração'!J:J,A908)/B908)</f>
        <v/>
      </c>
      <c r="G908" s="12" t="str">
        <f>IF(B908=0,"",COUNTIFS('Extração'!N:N,"Não",'Extração'!J:J,A908)/B908)</f>
        <v/>
      </c>
      <c r="H908" s="12" t="str">
        <f>IF(B908=0,"",COUNTIFS('Extração'!O:O,"Não",'Extração'!J:J,A908)/B908)</f>
        <v/>
      </c>
      <c r="I908" s="12" t="str">
        <f>IF(B908=0,"",COUNTIFS('Extração'!P:P,"Igual",'Extração'!J:J,A908)/B908)</f>
        <v/>
      </c>
    </row>
    <row r="909">
      <c r="B909" s="12">
        <f>COUNTIF('Extração'!J:J,A909)</f>
        <v>0</v>
      </c>
      <c r="C909" s="12" t="str">
        <f>IF(B909=0,"",COUNTIFS('Extração'!N:N,"Sim",'Extração'!J:J,A909)/B909)</f>
        <v/>
      </c>
      <c r="D909" s="12" t="str">
        <f>IF(B909=0,"",COUNTIFS('Extração'!O:O,"Sim",'Extração'!J:J,A909)/B909)</f>
        <v/>
      </c>
      <c r="E909" s="12" t="str">
        <f>IF(B909=0,"",COUNTIFS('Extração'!N:N,"Parcialmente",'Extração'!J:J,A909)/B909)</f>
        <v/>
      </c>
      <c r="F909" s="12" t="str">
        <f>IF(B909=0,"",COUNTIFS('Extração'!O:O,"Parcialmente",'Extração'!J:J,A909)/B909)</f>
        <v/>
      </c>
      <c r="G909" s="12" t="str">
        <f>IF(B909=0,"",COUNTIFS('Extração'!N:N,"Não",'Extração'!J:J,A909)/B909)</f>
        <v/>
      </c>
      <c r="H909" s="12" t="str">
        <f>IF(B909=0,"",COUNTIFS('Extração'!O:O,"Não",'Extração'!J:J,A909)/B909)</f>
        <v/>
      </c>
      <c r="I909" s="12" t="str">
        <f>IF(B909=0,"",COUNTIFS('Extração'!P:P,"Igual",'Extração'!J:J,A909)/B909)</f>
        <v/>
      </c>
    </row>
    <row r="910">
      <c r="B910" s="12">
        <f>COUNTIF('Extração'!J:J,A910)</f>
        <v>0</v>
      </c>
      <c r="C910" s="12" t="str">
        <f>IF(B910=0,"",COUNTIFS('Extração'!N:N,"Sim",'Extração'!J:J,A910)/B910)</f>
        <v/>
      </c>
      <c r="D910" s="12" t="str">
        <f>IF(B910=0,"",COUNTIFS('Extração'!O:O,"Sim",'Extração'!J:J,A910)/B910)</f>
        <v/>
      </c>
      <c r="E910" s="12" t="str">
        <f>IF(B910=0,"",COUNTIFS('Extração'!N:N,"Parcialmente",'Extração'!J:J,A910)/B910)</f>
        <v/>
      </c>
      <c r="F910" s="12" t="str">
        <f>IF(B910=0,"",COUNTIFS('Extração'!O:O,"Parcialmente",'Extração'!J:J,A910)/B910)</f>
        <v/>
      </c>
      <c r="G910" s="12" t="str">
        <f>IF(B910=0,"",COUNTIFS('Extração'!N:N,"Não",'Extração'!J:J,A910)/B910)</f>
        <v/>
      </c>
      <c r="H910" s="12" t="str">
        <f>IF(B910=0,"",COUNTIFS('Extração'!O:O,"Não",'Extração'!J:J,A910)/B910)</f>
        <v/>
      </c>
      <c r="I910" s="12" t="str">
        <f>IF(B910=0,"",COUNTIFS('Extração'!P:P,"Igual",'Extração'!J:J,A910)/B910)</f>
        <v/>
      </c>
    </row>
    <row r="911">
      <c r="B911" s="12">
        <f>COUNTIF('Extração'!J:J,A911)</f>
        <v>0</v>
      </c>
      <c r="C911" s="12" t="str">
        <f>IF(B911=0,"",COUNTIFS('Extração'!N:N,"Sim",'Extração'!J:J,A911)/B911)</f>
        <v/>
      </c>
      <c r="D911" s="12" t="str">
        <f>IF(B911=0,"",COUNTIFS('Extração'!O:O,"Sim",'Extração'!J:J,A911)/B911)</f>
        <v/>
      </c>
      <c r="E911" s="12" t="str">
        <f>IF(B911=0,"",COUNTIFS('Extração'!N:N,"Parcialmente",'Extração'!J:J,A911)/B911)</f>
        <v/>
      </c>
      <c r="F911" s="12" t="str">
        <f>IF(B911=0,"",COUNTIFS('Extração'!O:O,"Parcialmente",'Extração'!J:J,A911)/B911)</f>
        <v/>
      </c>
      <c r="G911" s="12" t="str">
        <f>IF(B911=0,"",COUNTIFS('Extração'!N:N,"Não",'Extração'!J:J,A911)/B911)</f>
        <v/>
      </c>
      <c r="H911" s="12" t="str">
        <f>IF(B911=0,"",COUNTIFS('Extração'!O:O,"Não",'Extração'!J:J,A911)/B911)</f>
        <v/>
      </c>
      <c r="I911" s="12" t="str">
        <f>IF(B911=0,"",COUNTIFS('Extração'!P:P,"Igual",'Extração'!J:J,A911)/B911)</f>
        <v/>
      </c>
    </row>
    <row r="912">
      <c r="B912" s="12">
        <f>COUNTIF('Extração'!J:J,A912)</f>
        <v>0</v>
      </c>
      <c r="C912" s="12" t="str">
        <f>IF(B912=0,"",COUNTIFS('Extração'!N:N,"Sim",'Extração'!J:J,A912)/B912)</f>
        <v/>
      </c>
      <c r="D912" s="12" t="str">
        <f>IF(B912=0,"",COUNTIFS('Extração'!O:O,"Sim",'Extração'!J:J,A912)/B912)</f>
        <v/>
      </c>
      <c r="E912" s="12" t="str">
        <f>IF(B912=0,"",COUNTIFS('Extração'!N:N,"Parcialmente",'Extração'!J:J,A912)/B912)</f>
        <v/>
      </c>
      <c r="F912" s="12" t="str">
        <f>IF(B912=0,"",COUNTIFS('Extração'!O:O,"Parcialmente",'Extração'!J:J,A912)/B912)</f>
        <v/>
      </c>
      <c r="G912" s="12" t="str">
        <f>IF(B912=0,"",COUNTIFS('Extração'!N:N,"Não",'Extração'!J:J,A912)/B912)</f>
        <v/>
      </c>
      <c r="H912" s="12" t="str">
        <f>IF(B912=0,"",COUNTIFS('Extração'!O:O,"Não",'Extração'!J:J,A912)/B912)</f>
        <v/>
      </c>
      <c r="I912" s="12" t="str">
        <f>IF(B912=0,"",COUNTIFS('Extração'!P:P,"Igual",'Extração'!J:J,A912)/B912)</f>
        <v/>
      </c>
    </row>
    <row r="913">
      <c r="B913" s="12">
        <f>COUNTIF('Extração'!J:J,A913)</f>
        <v>0</v>
      </c>
      <c r="C913" s="12" t="str">
        <f>IF(B913=0,"",COUNTIFS('Extração'!N:N,"Sim",'Extração'!J:J,A913)/B913)</f>
        <v/>
      </c>
      <c r="D913" s="12" t="str">
        <f>IF(B913=0,"",COUNTIFS('Extração'!O:O,"Sim",'Extração'!J:J,A913)/B913)</f>
        <v/>
      </c>
      <c r="E913" s="12" t="str">
        <f>IF(B913=0,"",COUNTIFS('Extração'!N:N,"Parcialmente",'Extração'!J:J,A913)/B913)</f>
        <v/>
      </c>
      <c r="F913" s="12" t="str">
        <f>IF(B913=0,"",COUNTIFS('Extração'!O:O,"Parcialmente",'Extração'!J:J,A913)/B913)</f>
        <v/>
      </c>
      <c r="G913" s="12" t="str">
        <f>IF(B913=0,"",COUNTIFS('Extração'!N:N,"Não",'Extração'!J:J,A913)/B913)</f>
        <v/>
      </c>
      <c r="H913" s="12" t="str">
        <f>IF(B913=0,"",COUNTIFS('Extração'!O:O,"Não",'Extração'!J:J,A913)/B913)</f>
        <v/>
      </c>
      <c r="I913" s="12" t="str">
        <f>IF(B913=0,"",COUNTIFS('Extração'!P:P,"Igual",'Extração'!J:J,A913)/B913)</f>
        <v/>
      </c>
    </row>
    <row r="914">
      <c r="B914" s="12">
        <f>COUNTIF('Extração'!J:J,A914)</f>
        <v>0</v>
      </c>
      <c r="C914" s="12" t="str">
        <f>IF(B914=0,"",COUNTIFS('Extração'!N:N,"Sim",'Extração'!J:J,A914)/B914)</f>
        <v/>
      </c>
      <c r="D914" s="12" t="str">
        <f>IF(B914=0,"",COUNTIFS('Extração'!O:O,"Sim",'Extração'!J:J,A914)/B914)</f>
        <v/>
      </c>
      <c r="E914" s="12" t="str">
        <f>IF(B914=0,"",COUNTIFS('Extração'!N:N,"Parcialmente",'Extração'!J:J,A914)/B914)</f>
        <v/>
      </c>
      <c r="F914" s="12" t="str">
        <f>IF(B914=0,"",COUNTIFS('Extração'!O:O,"Parcialmente",'Extração'!J:J,A914)/B914)</f>
        <v/>
      </c>
      <c r="G914" s="12" t="str">
        <f>IF(B914=0,"",COUNTIFS('Extração'!N:N,"Não",'Extração'!J:J,A914)/B914)</f>
        <v/>
      </c>
      <c r="H914" s="12" t="str">
        <f>IF(B914=0,"",COUNTIFS('Extração'!O:O,"Não",'Extração'!J:J,A914)/B914)</f>
        <v/>
      </c>
      <c r="I914" s="12" t="str">
        <f>IF(B914=0,"",COUNTIFS('Extração'!P:P,"Igual",'Extração'!J:J,A914)/B914)</f>
        <v/>
      </c>
    </row>
    <row r="915">
      <c r="B915" s="12">
        <f>COUNTIF('Extração'!J:J,A915)</f>
        <v>0</v>
      </c>
      <c r="C915" s="12" t="str">
        <f>IF(B915=0,"",COUNTIFS('Extração'!N:N,"Sim",'Extração'!J:J,A915)/B915)</f>
        <v/>
      </c>
      <c r="D915" s="12" t="str">
        <f>IF(B915=0,"",COUNTIFS('Extração'!O:O,"Sim",'Extração'!J:J,A915)/B915)</f>
        <v/>
      </c>
      <c r="E915" s="12" t="str">
        <f>IF(B915=0,"",COUNTIFS('Extração'!N:N,"Parcialmente",'Extração'!J:J,A915)/B915)</f>
        <v/>
      </c>
      <c r="F915" s="12" t="str">
        <f>IF(B915=0,"",COUNTIFS('Extração'!O:O,"Parcialmente",'Extração'!J:J,A915)/B915)</f>
        <v/>
      </c>
      <c r="G915" s="12" t="str">
        <f>IF(B915=0,"",COUNTIFS('Extração'!N:N,"Não",'Extração'!J:J,A915)/B915)</f>
        <v/>
      </c>
      <c r="H915" s="12" t="str">
        <f>IF(B915=0,"",COUNTIFS('Extração'!O:O,"Não",'Extração'!J:J,A915)/B915)</f>
        <v/>
      </c>
      <c r="I915" s="12" t="str">
        <f>IF(B915=0,"",COUNTIFS('Extração'!P:P,"Igual",'Extração'!J:J,A915)/B915)</f>
        <v/>
      </c>
    </row>
    <row r="916">
      <c r="B916" s="12">
        <f>COUNTIF('Extração'!J:J,A916)</f>
        <v>0</v>
      </c>
      <c r="C916" s="12" t="str">
        <f>IF(B916=0,"",COUNTIFS('Extração'!N:N,"Sim",'Extração'!J:J,A916)/B916)</f>
        <v/>
      </c>
      <c r="D916" s="12" t="str">
        <f>IF(B916=0,"",COUNTIFS('Extração'!O:O,"Sim",'Extração'!J:J,A916)/B916)</f>
        <v/>
      </c>
      <c r="E916" s="12" t="str">
        <f>IF(B916=0,"",COUNTIFS('Extração'!N:N,"Parcialmente",'Extração'!J:J,A916)/B916)</f>
        <v/>
      </c>
      <c r="F916" s="12" t="str">
        <f>IF(B916=0,"",COUNTIFS('Extração'!O:O,"Parcialmente",'Extração'!J:J,A916)/B916)</f>
        <v/>
      </c>
      <c r="G916" s="12" t="str">
        <f>IF(B916=0,"",COUNTIFS('Extração'!N:N,"Não",'Extração'!J:J,A916)/B916)</f>
        <v/>
      </c>
      <c r="H916" s="12" t="str">
        <f>IF(B916=0,"",COUNTIFS('Extração'!O:O,"Não",'Extração'!J:J,A916)/B916)</f>
        <v/>
      </c>
      <c r="I916" s="12" t="str">
        <f>IF(B916=0,"",COUNTIFS('Extração'!P:P,"Igual",'Extração'!J:J,A916)/B916)</f>
        <v/>
      </c>
    </row>
    <row r="917">
      <c r="B917" s="12">
        <f>COUNTIF('Extração'!J:J,A917)</f>
        <v>0</v>
      </c>
      <c r="C917" s="12" t="str">
        <f>IF(B917=0,"",COUNTIFS('Extração'!N:N,"Sim",'Extração'!J:J,A917)/B917)</f>
        <v/>
      </c>
      <c r="D917" s="12" t="str">
        <f>IF(B917=0,"",COUNTIFS('Extração'!O:O,"Sim",'Extração'!J:J,A917)/B917)</f>
        <v/>
      </c>
      <c r="E917" s="12" t="str">
        <f>IF(B917=0,"",COUNTIFS('Extração'!N:N,"Parcialmente",'Extração'!J:J,A917)/B917)</f>
        <v/>
      </c>
      <c r="F917" s="12" t="str">
        <f>IF(B917=0,"",COUNTIFS('Extração'!O:O,"Parcialmente",'Extração'!J:J,A917)/B917)</f>
        <v/>
      </c>
      <c r="G917" s="12" t="str">
        <f>IF(B917=0,"",COUNTIFS('Extração'!N:N,"Não",'Extração'!J:J,A917)/B917)</f>
        <v/>
      </c>
      <c r="H917" s="12" t="str">
        <f>IF(B917=0,"",COUNTIFS('Extração'!O:O,"Não",'Extração'!J:J,A917)/B917)</f>
        <v/>
      </c>
      <c r="I917" s="12" t="str">
        <f>IF(B917=0,"",COUNTIFS('Extração'!P:P,"Igual",'Extração'!J:J,A917)/B917)</f>
        <v/>
      </c>
    </row>
    <row r="918">
      <c r="B918" s="12">
        <f>COUNTIF('Extração'!J:J,A918)</f>
        <v>0</v>
      </c>
      <c r="C918" s="12" t="str">
        <f>IF(B918=0,"",COUNTIFS('Extração'!N:N,"Sim",'Extração'!J:J,A918)/B918)</f>
        <v/>
      </c>
      <c r="D918" s="12" t="str">
        <f>IF(B918=0,"",COUNTIFS('Extração'!O:O,"Sim",'Extração'!J:J,A918)/B918)</f>
        <v/>
      </c>
      <c r="E918" s="12" t="str">
        <f>IF(B918=0,"",COUNTIFS('Extração'!N:N,"Parcialmente",'Extração'!J:J,A918)/B918)</f>
        <v/>
      </c>
      <c r="F918" s="12" t="str">
        <f>IF(B918=0,"",COUNTIFS('Extração'!O:O,"Parcialmente",'Extração'!J:J,A918)/B918)</f>
        <v/>
      </c>
      <c r="G918" s="12" t="str">
        <f>IF(B918=0,"",COUNTIFS('Extração'!N:N,"Não",'Extração'!J:J,A918)/B918)</f>
        <v/>
      </c>
      <c r="H918" s="12" t="str">
        <f>IF(B918=0,"",COUNTIFS('Extração'!O:O,"Não",'Extração'!J:J,A918)/B918)</f>
        <v/>
      </c>
      <c r="I918" s="12" t="str">
        <f>IF(B918=0,"",COUNTIFS('Extração'!P:P,"Igual",'Extração'!J:J,A918)/B918)</f>
        <v/>
      </c>
    </row>
    <row r="919">
      <c r="B919" s="12">
        <f>COUNTIF('Extração'!J:J,A919)</f>
        <v>0</v>
      </c>
      <c r="C919" s="12" t="str">
        <f>IF(B919=0,"",COUNTIFS('Extração'!N:N,"Sim",'Extração'!J:J,A919)/B919)</f>
        <v/>
      </c>
      <c r="D919" s="12" t="str">
        <f>IF(B919=0,"",COUNTIFS('Extração'!O:O,"Sim",'Extração'!J:J,A919)/B919)</f>
        <v/>
      </c>
      <c r="E919" s="12" t="str">
        <f>IF(B919=0,"",COUNTIFS('Extração'!N:N,"Parcialmente",'Extração'!J:J,A919)/B919)</f>
        <v/>
      </c>
      <c r="F919" s="12" t="str">
        <f>IF(B919=0,"",COUNTIFS('Extração'!O:O,"Parcialmente",'Extração'!J:J,A919)/B919)</f>
        <v/>
      </c>
      <c r="G919" s="12" t="str">
        <f>IF(B919=0,"",COUNTIFS('Extração'!N:N,"Não",'Extração'!J:J,A919)/B919)</f>
        <v/>
      </c>
      <c r="H919" s="12" t="str">
        <f>IF(B919=0,"",COUNTIFS('Extração'!O:O,"Não",'Extração'!J:J,A919)/B919)</f>
        <v/>
      </c>
      <c r="I919" s="12" t="str">
        <f>IF(B919=0,"",COUNTIFS('Extração'!P:P,"Igual",'Extração'!J:J,A919)/B919)</f>
        <v/>
      </c>
    </row>
    <row r="920">
      <c r="B920" s="12">
        <f>COUNTIF('Extração'!J:J,A920)</f>
        <v>0</v>
      </c>
      <c r="C920" s="12" t="str">
        <f>IF(B920=0,"",COUNTIFS('Extração'!N:N,"Sim",'Extração'!J:J,A920)/B920)</f>
        <v/>
      </c>
      <c r="D920" s="12" t="str">
        <f>IF(B920=0,"",COUNTIFS('Extração'!O:O,"Sim",'Extração'!J:J,A920)/B920)</f>
        <v/>
      </c>
      <c r="E920" s="12" t="str">
        <f>IF(B920=0,"",COUNTIFS('Extração'!N:N,"Parcialmente",'Extração'!J:J,A920)/B920)</f>
        <v/>
      </c>
      <c r="F920" s="12" t="str">
        <f>IF(B920=0,"",COUNTIFS('Extração'!O:O,"Parcialmente",'Extração'!J:J,A920)/B920)</f>
        <v/>
      </c>
      <c r="G920" s="12" t="str">
        <f>IF(B920=0,"",COUNTIFS('Extração'!N:N,"Não",'Extração'!J:J,A920)/B920)</f>
        <v/>
      </c>
      <c r="H920" s="12" t="str">
        <f>IF(B920=0,"",COUNTIFS('Extração'!O:O,"Não",'Extração'!J:J,A920)/B920)</f>
        <v/>
      </c>
      <c r="I920" s="12" t="str">
        <f>IF(B920=0,"",COUNTIFS('Extração'!P:P,"Igual",'Extração'!J:J,A920)/B920)</f>
        <v/>
      </c>
    </row>
    <row r="921">
      <c r="B921" s="12">
        <f>COUNTIF('Extração'!J:J,A921)</f>
        <v>0</v>
      </c>
      <c r="C921" s="12" t="str">
        <f>IF(B921=0,"",COUNTIFS('Extração'!N:N,"Sim",'Extração'!J:J,A921)/B921)</f>
        <v/>
      </c>
      <c r="D921" s="12" t="str">
        <f>IF(B921=0,"",COUNTIFS('Extração'!O:O,"Sim",'Extração'!J:J,A921)/B921)</f>
        <v/>
      </c>
      <c r="E921" s="12" t="str">
        <f>IF(B921=0,"",COUNTIFS('Extração'!N:N,"Parcialmente",'Extração'!J:J,A921)/B921)</f>
        <v/>
      </c>
      <c r="F921" s="12" t="str">
        <f>IF(B921=0,"",COUNTIFS('Extração'!O:O,"Parcialmente",'Extração'!J:J,A921)/B921)</f>
        <v/>
      </c>
      <c r="G921" s="12" t="str">
        <f>IF(B921=0,"",COUNTIFS('Extração'!N:N,"Não",'Extração'!J:J,A921)/B921)</f>
        <v/>
      </c>
      <c r="H921" s="12" t="str">
        <f>IF(B921=0,"",COUNTIFS('Extração'!O:O,"Não",'Extração'!J:J,A921)/B921)</f>
        <v/>
      </c>
      <c r="I921" s="12" t="str">
        <f>IF(B921=0,"",COUNTIFS('Extração'!P:P,"Igual",'Extração'!J:J,A921)/B921)</f>
        <v/>
      </c>
    </row>
    <row r="922">
      <c r="B922" s="12">
        <f>COUNTIF('Extração'!J:J,A922)</f>
        <v>0</v>
      </c>
      <c r="C922" s="12" t="str">
        <f>IF(B922=0,"",COUNTIFS('Extração'!N:N,"Sim",'Extração'!J:J,A922)/B922)</f>
        <v/>
      </c>
      <c r="D922" s="12" t="str">
        <f>IF(B922=0,"",COUNTIFS('Extração'!O:O,"Sim",'Extração'!J:J,A922)/B922)</f>
        <v/>
      </c>
      <c r="E922" s="12" t="str">
        <f>IF(B922=0,"",COUNTIFS('Extração'!N:N,"Parcialmente",'Extração'!J:J,A922)/B922)</f>
        <v/>
      </c>
      <c r="F922" s="12" t="str">
        <f>IF(B922=0,"",COUNTIFS('Extração'!O:O,"Parcialmente",'Extração'!J:J,A922)/B922)</f>
        <v/>
      </c>
      <c r="G922" s="12" t="str">
        <f>IF(B922=0,"",COUNTIFS('Extração'!N:N,"Não",'Extração'!J:J,A922)/B922)</f>
        <v/>
      </c>
      <c r="H922" s="12" t="str">
        <f>IF(B922=0,"",COUNTIFS('Extração'!O:O,"Não",'Extração'!J:J,A922)/B922)</f>
        <v/>
      </c>
      <c r="I922" s="12" t="str">
        <f>IF(B922=0,"",COUNTIFS('Extração'!P:P,"Igual",'Extração'!J:J,A922)/B922)</f>
        <v/>
      </c>
    </row>
    <row r="923">
      <c r="B923" s="12">
        <f>COUNTIF('Extração'!J:J,A923)</f>
        <v>0</v>
      </c>
      <c r="C923" s="12" t="str">
        <f>IF(B923=0,"",COUNTIFS('Extração'!N:N,"Sim",'Extração'!J:J,A923)/B923)</f>
        <v/>
      </c>
      <c r="D923" s="12" t="str">
        <f>IF(B923=0,"",COUNTIFS('Extração'!O:O,"Sim",'Extração'!J:J,A923)/B923)</f>
        <v/>
      </c>
      <c r="E923" s="12" t="str">
        <f>IF(B923=0,"",COUNTIFS('Extração'!N:N,"Parcialmente",'Extração'!J:J,A923)/B923)</f>
        <v/>
      </c>
      <c r="F923" s="12" t="str">
        <f>IF(B923=0,"",COUNTIFS('Extração'!O:O,"Parcialmente",'Extração'!J:J,A923)/B923)</f>
        <v/>
      </c>
      <c r="G923" s="12" t="str">
        <f>IF(B923=0,"",COUNTIFS('Extração'!N:N,"Não",'Extração'!J:J,A923)/B923)</f>
        <v/>
      </c>
      <c r="H923" s="12" t="str">
        <f>IF(B923=0,"",COUNTIFS('Extração'!O:O,"Não",'Extração'!J:J,A923)/B923)</f>
        <v/>
      </c>
      <c r="I923" s="12" t="str">
        <f>IF(B923=0,"",COUNTIFS('Extração'!P:P,"Igual",'Extração'!J:J,A923)/B923)</f>
        <v/>
      </c>
    </row>
    <row r="924">
      <c r="B924" s="12">
        <f>COUNTIF('Extração'!J:J,A924)</f>
        <v>0</v>
      </c>
      <c r="C924" s="12" t="str">
        <f>IF(B924=0,"",COUNTIFS('Extração'!N:N,"Sim",'Extração'!J:J,A924)/B924)</f>
        <v/>
      </c>
      <c r="D924" s="12" t="str">
        <f>IF(B924=0,"",COUNTIFS('Extração'!O:O,"Sim",'Extração'!J:J,A924)/B924)</f>
        <v/>
      </c>
      <c r="E924" s="12" t="str">
        <f>IF(B924=0,"",COUNTIFS('Extração'!N:N,"Parcialmente",'Extração'!J:J,A924)/B924)</f>
        <v/>
      </c>
      <c r="F924" s="12" t="str">
        <f>IF(B924=0,"",COUNTIFS('Extração'!O:O,"Parcialmente",'Extração'!J:J,A924)/B924)</f>
        <v/>
      </c>
      <c r="G924" s="12" t="str">
        <f>IF(B924=0,"",COUNTIFS('Extração'!N:N,"Não",'Extração'!J:J,A924)/B924)</f>
        <v/>
      </c>
      <c r="H924" s="12" t="str">
        <f>IF(B924=0,"",COUNTIFS('Extração'!O:O,"Não",'Extração'!J:J,A924)/B924)</f>
        <v/>
      </c>
      <c r="I924" s="12" t="str">
        <f>IF(B924=0,"",COUNTIFS('Extração'!P:P,"Igual",'Extração'!J:J,A924)/B924)</f>
        <v/>
      </c>
    </row>
    <row r="925">
      <c r="B925" s="12">
        <f>COUNTIF('Extração'!J:J,A925)</f>
        <v>0</v>
      </c>
      <c r="C925" s="12" t="str">
        <f>IF(B925=0,"",COUNTIFS('Extração'!N:N,"Sim",'Extração'!J:J,A925)/B925)</f>
        <v/>
      </c>
      <c r="D925" s="12" t="str">
        <f>IF(B925=0,"",COUNTIFS('Extração'!O:O,"Sim",'Extração'!J:J,A925)/B925)</f>
        <v/>
      </c>
      <c r="E925" s="12" t="str">
        <f>IF(B925=0,"",COUNTIFS('Extração'!N:N,"Parcialmente",'Extração'!J:J,A925)/B925)</f>
        <v/>
      </c>
      <c r="F925" s="12" t="str">
        <f>IF(B925=0,"",COUNTIFS('Extração'!O:O,"Parcialmente",'Extração'!J:J,A925)/B925)</f>
        <v/>
      </c>
      <c r="G925" s="12" t="str">
        <f>IF(B925=0,"",COUNTIFS('Extração'!N:N,"Não",'Extração'!J:J,A925)/B925)</f>
        <v/>
      </c>
      <c r="H925" s="12" t="str">
        <f>IF(B925=0,"",COUNTIFS('Extração'!O:O,"Não",'Extração'!J:J,A925)/B925)</f>
        <v/>
      </c>
      <c r="I925" s="12" t="str">
        <f>IF(B925=0,"",COUNTIFS('Extração'!P:P,"Igual",'Extração'!J:J,A925)/B925)</f>
        <v/>
      </c>
    </row>
    <row r="926">
      <c r="B926" s="12">
        <f>COUNTIF('Extração'!J:J,A926)</f>
        <v>0</v>
      </c>
      <c r="C926" s="12" t="str">
        <f>IF(B926=0,"",COUNTIFS('Extração'!N:N,"Sim",'Extração'!J:J,A926)/B926)</f>
        <v/>
      </c>
      <c r="D926" s="12" t="str">
        <f>IF(B926=0,"",COUNTIFS('Extração'!O:O,"Sim",'Extração'!J:J,A926)/B926)</f>
        <v/>
      </c>
      <c r="E926" s="12" t="str">
        <f>IF(B926=0,"",COUNTIFS('Extração'!N:N,"Parcialmente",'Extração'!J:J,A926)/B926)</f>
        <v/>
      </c>
      <c r="F926" s="12" t="str">
        <f>IF(B926=0,"",COUNTIFS('Extração'!O:O,"Parcialmente",'Extração'!J:J,A926)/B926)</f>
        <v/>
      </c>
      <c r="G926" s="12" t="str">
        <f>IF(B926=0,"",COUNTIFS('Extração'!N:N,"Não",'Extração'!J:J,A926)/B926)</f>
        <v/>
      </c>
      <c r="H926" s="12" t="str">
        <f>IF(B926=0,"",COUNTIFS('Extração'!O:O,"Não",'Extração'!J:J,A926)/B926)</f>
        <v/>
      </c>
      <c r="I926" s="12" t="str">
        <f>IF(B926=0,"",COUNTIFS('Extração'!P:P,"Igual",'Extração'!J:J,A926)/B926)</f>
        <v/>
      </c>
    </row>
    <row r="927">
      <c r="B927" s="12">
        <f>COUNTIF('Extração'!J:J,A927)</f>
        <v>0</v>
      </c>
      <c r="C927" s="12" t="str">
        <f>IF(B927=0,"",COUNTIFS('Extração'!N:N,"Sim",'Extração'!J:J,A927)/B927)</f>
        <v/>
      </c>
      <c r="D927" s="12" t="str">
        <f>IF(B927=0,"",COUNTIFS('Extração'!O:O,"Sim",'Extração'!J:J,A927)/B927)</f>
        <v/>
      </c>
      <c r="E927" s="12" t="str">
        <f>IF(B927=0,"",COUNTIFS('Extração'!N:N,"Parcialmente",'Extração'!J:J,A927)/B927)</f>
        <v/>
      </c>
      <c r="F927" s="12" t="str">
        <f>IF(B927=0,"",COUNTIFS('Extração'!O:O,"Parcialmente",'Extração'!J:J,A927)/B927)</f>
        <v/>
      </c>
      <c r="G927" s="12" t="str">
        <f>IF(B927=0,"",COUNTIFS('Extração'!N:N,"Não",'Extração'!J:J,A927)/B927)</f>
        <v/>
      </c>
      <c r="H927" s="12" t="str">
        <f>IF(B927=0,"",COUNTIFS('Extração'!O:O,"Não",'Extração'!J:J,A927)/B927)</f>
        <v/>
      </c>
      <c r="I927" s="12" t="str">
        <f>IF(B927=0,"",COUNTIFS('Extração'!P:P,"Igual",'Extração'!J:J,A927)/B927)</f>
        <v/>
      </c>
    </row>
    <row r="928">
      <c r="B928" s="12">
        <f>COUNTIF('Extração'!J:J,A928)</f>
        <v>0</v>
      </c>
      <c r="C928" s="12" t="str">
        <f>IF(B928=0,"",COUNTIFS('Extração'!N:N,"Sim",'Extração'!J:J,A928)/B928)</f>
        <v/>
      </c>
      <c r="D928" s="12" t="str">
        <f>IF(B928=0,"",COUNTIFS('Extração'!O:O,"Sim",'Extração'!J:J,A928)/B928)</f>
        <v/>
      </c>
      <c r="E928" s="12" t="str">
        <f>IF(B928=0,"",COUNTIFS('Extração'!N:N,"Parcialmente",'Extração'!J:J,A928)/B928)</f>
        <v/>
      </c>
      <c r="F928" s="12" t="str">
        <f>IF(B928=0,"",COUNTIFS('Extração'!O:O,"Parcialmente",'Extração'!J:J,A928)/B928)</f>
        <v/>
      </c>
      <c r="G928" s="12" t="str">
        <f>IF(B928=0,"",COUNTIFS('Extração'!N:N,"Não",'Extração'!J:J,A928)/B928)</f>
        <v/>
      </c>
      <c r="H928" s="12" t="str">
        <f>IF(B928=0,"",COUNTIFS('Extração'!O:O,"Não",'Extração'!J:J,A928)/B928)</f>
        <v/>
      </c>
      <c r="I928" s="12" t="str">
        <f>IF(B928=0,"",COUNTIFS('Extração'!P:P,"Igual",'Extração'!J:J,A928)/B928)</f>
        <v/>
      </c>
    </row>
    <row r="929">
      <c r="B929" s="12">
        <f>COUNTIF('Extração'!J:J,A929)</f>
        <v>0</v>
      </c>
      <c r="C929" s="12" t="str">
        <f>IF(B929=0,"",COUNTIFS('Extração'!N:N,"Sim",'Extração'!J:J,A929)/B929)</f>
        <v/>
      </c>
      <c r="D929" s="12" t="str">
        <f>IF(B929=0,"",COUNTIFS('Extração'!O:O,"Sim",'Extração'!J:J,A929)/B929)</f>
        <v/>
      </c>
      <c r="E929" s="12" t="str">
        <f>IF(B929=0,"",COUNTIFS('Extração'!N:N,"Parcialmente",'Extração'!J:J,A929)/B929)</f>
        <v/>
      </c>
      <c r="F929" s="12" t="str">
        <f>IF(B929=0,"",COUNTIFS('Extração'!O:O,"Parcialmente",'Extração'!J:J,A929)/B929)</f>
        <v/>
      </c>
      <c r="G929" s="12" t="str">
        <f>IF(B929=0,"",COUNTIFS('Extração'!N:N,"Não",'Extração'!J:J,A929)/B929)</f>
        <v/>
      </c>
      <c r="H929" s="12" t="str">
        <f>IF(B929=0,"",COUNTIFS('Extração'!O:O,"Não",'Extração'!J:J,A929)/B929)</f>
        <v/>
      </c>
      <c r="I929" s="12" t="str">
        <f>IF(B929=0,"",COUNTIFS('Extração'!P:P,"Igual",'Extração'!J:J,A929)/B929)</f>
        <v/>
      </c>
    </row>
    <row r="930">
      <c r="B930" s="12">
        <f>COUNTIF('Extração'!J:J,A930)</f>
        <v>0</v>
      </c>
      <c r="C930" s="12" t="str">
        <f>IF(B930=0,"",COUNTIFS('Extração'!N:N,"Sim",'Extração'!J:J,A930)/B930)</f>
        <v/>
      </c>
      <c r="D930" s="12" t="str">
        <f>IF(B930=0,"",COUNTIFS('Extração'!O:O,"Sim",'Extração'!J:J,A930)/B930)</f>
        <v/>
      </c>
      <c r="E930" s="12" t="str">
        <f>IF(B930=0,"",COUNTIFS('Extração'!N:N,"Parcialmente",'Extração'!J:J,A930)/B930)</f>
        <v/>
      </c>
      <c r="F930" s="12" t="str">
        <f>IF(B930=0,"",COUNTIFS('Extração'!O:O,"Parcialmente",'Extração'!J:J,A930)/B930)</f>
        <v/>
      </c>
      <c r="G930" s="12" t="str">
        <f>IF(B930=0,"",COUNTIFS('Extração'!N:N,"Não",'Extração'!J:J,A930)/B930)</f>
        <v/>
      </c>
      <c r="H930" s="12" t="str">
        <f>IF(B930=0,"",COUNTIFS('Extração'!O:O,"Não",'Extração'!J:J,A930)/B930)</f>
        <v/>
      </c>
      <c r="I930" s="12" t="str">
        <f>IF(B930=0,"",COUNTIFS('Extração'!P:P,"Igual",'Extração'!J:J,A930)/B930)</f>
        <v/>
      </c>
    </row>
    <row r="931">
      <c r="B931" s="12">
        <f>COUNTIF('Extração'!J:J,A931)</f>
        <v>0</v>
      </c>
      <c r="C931" s="12" t="str">
        <f>IF(B931=0,"",COUNTIFS('Extração'!N:N,"Sim",'Extração'!J:J,A931)/B931)</f>
        <v/>
      </c>
      <c r="D931" s="12" t="str">
        <f>IF(B931=0,"",COUNTIFS('Extração'!O:O,"Sim",'Extração'!J:J,A931)/B931)</f>
        <v/>
      </c>
      <c r="E931" s="12" t="str">
        <f>IF(B931=0,"",COUNTIFS('Extração'!N:N,"Parcialmente",'Extração'!J:J,A931)/B931)</f>
        <v/>
      </c>
      <c r="F931" s="12" t="str">
        <f>IF(B931=0,"",COUNTIFS('Extração'!O:O,"Parcialmente",'Extração'!J:J,A931)/B931)</f>
        <v/>
      </c>
      <c r="G931" s="12" t="str">
        <f>IF(B931=0,"",COUNTIFS('Extração'!N:N,"Não",'Extração'!J:J,A931)/B931)</f>
        <v/>
      </c>
      <c r="H931" s="12" t="str">
        <f>IF(B931=0,"",COUNTIFS('Extração'!O:O,"Não",'Extração'!J:J,A931)/B931)</f>
        <v/>
      </c>
      <c r="I931" s="12" t="str">
        <f>IF(B931=0,"",COUNTIFS('Extração'!P:P,"Igual",'Extração'!J:J,A931)/B931)</f>
        <v/>
      </c>
    </row>
    <row r="932">
      <c r="B932" s="12">
        <f>COUNTIF('Extração'!J:J,A932)</f>
        <v>0</v>
      </c>
      <c r="C932" s="12" t="str">
        <f>IF(B932=0,"",COUNTIFS('Extração'!N:N,"Sim",'Extração'!J:J,A932)/B932)</f>
        <v/>
      </c>
      <c r="D932" s="12" t="str">
        <f>IF(B932=0,"",COUNTIFS('Extração'!O:O,"Sim",'Extração'!J:J,A932)/B932)</f>
        <v/>
      </c>
      <c r="E932" s="12" t="str">
        <f>IF(B932=0,"",COUNTIFS('Extração'!N:N,"Parcialmente",'Extração'!J:J,A932)/B932)</f>
        <v/>
      </c>
      <c r="F932" s="12" t="str">
        <f>IF(B932=0,"",COUNTIFS('Extração'!O:O,"Parcialmente",'Extração'!J:J,A932)/B932)</f>
        <v/>
      </c>
      <c r="G932" s="12" t="str">
        <f>IF(B932=0,"",COUNTIFS('Extração'!N:N,"Não",'Extração'!J:J,A932)/B932)</f>
        <v/>
      </c>
      <c r="H932" s="12" t="str">
        <f>IF(B932=0,"",COUNTIFS('Extração'!O:O,"Não",'Extração'!J:J,A932)/B932)</f>
        <v/>
      </c>
      <c r="I932" s="12" t="str">
        <f>IF(B932=0,"",COUNTIFS('Extração'!P:P,"Igual",'Extração'!J:J,A932)/B932)</f>
        <v/>
      </c>
    </row>
    <row r="933">
      <c r="B933" s="12">
        <f>COUNTIF('Extração'!J:J,A933)</f>
        <v>0</v>
      </c>
      <c r="C933" s="12" t="str">
        <f>IF(B933=0,"",COUNTIFS('Extração'!N:N,"Sim",'Extração'!J:J,A933)/B933)</f>
        <v/>
      </c>
      <c r="D933" s="12" t="str">
        <f>IF(B933=0,"",COUNTIFS('Extração'!O:O,"Sim",'Extração'!J:J,A933)/B933)</f>
        <v/>
      </c>
      <c r="E933" s="12" t="str">
        <f>IF(B933=0,"",COUNTIFS('Extração'!N:N,"Parcialmente",'Extração'!J:J,A933)/B933)</f>
        <v/>
      </c>
      <c r="F933" s="12" t="str">
        <f>IF(B933=0,"",COUNTIFS('Extração'!O:O,"Parcialmente",'Extração'!J:J,A933)/B933)</f>
        <v/>
      </c>
      <c r="G933" s="12" t="str">
        <f>IF(B933=0,"",COUNTIFS('Extração'!N:N,"Não",'Extração'!J:J,A933)/B933)</f>
        <v/>
      </c>
      <c r="H933" s="12" t="str">
        <f>IF(B933=0,"",COUNTIFS('Extração'!O:O,"Não",'Extração'!J:J,A933)/B933)</f>
        <v/>
      </c>
      <c r="I933" s="12" t="str">
        <f>IF(B933=0,"",COUNTIFS('Extração'!P:P,"Igual",'Extração'!J:J,A933)/B933)</f>
        <v/>
      </c>
    </row>
    <row r="934">
      <c r="B934" s="12">
        <f>COUNTIF('Extração'!J:J,A934)</f>
        <v>0</v>
      </c>
      <c r="C934" s="12" t="str">
        <f>IF(B934=0,"",COUNTIFS('Extração'!N:N,"Sim",'Extração'!J:J,A934)/B934)</f>
        <v/>
      </c>
      <c r="D934" s="12" t="str">
        <f>IF(B934=0,"",COUNTIFS('Extração'!O:O,"Sim",'Extração'!J:J,A934)/B934)</f>
        <v/>
      </c>
      <c r="E934" s="12" t="str">
        <f>IF(B934=0,"",COUNTIFS('Extração'!N:N,"Parcialmente",'Extração'!J:J,A934)/B934)</f>
        <v/>
      </c>
      <c r="F934" s="12" t="str">
        <f>IF(B934=0,"",COUNTIFS('Extração'!O:O,"Parcialmente",'Extração'!J:J,A934)/B934)</f>
        <v/>
      </c>
      <c r="G934" s="12" t="str">
        <f>IF(B934=0,"",COUNTIFS('Extração'!N:N,"Não",'Extração'!J:J,A934)/B934)</f>
        <v/>
      </c>
      <c r="H934" s="12" t="str">
        <f>IF(B934=0,"",COUNTIFS('Extração'!O:O,"Não",'Extração'!J:J,A934)/B934)</f>
        <v/>
      </c>
      <c r="I934" s="12" t="str">
        <f>IF(B934=0,"",COUNTIFS('Extração'!P:P,"Igual",'Extração'!J:J,A934)/B934)</f>
        <v/>
      </c>
    </row>
    <row r="935">
      <c r="B935" s="12">
        <f>COUNTIF('Extração'!J:J,A935)</f>
        <v>0</v>
      </c>
      <c r="C935" s="12" t="str">
        <f>IF(B935=0,"",COUNTIFS('Extração'!N:N,"Sim",'Extração'!J:J,A935)/B935)</f>
        <v/>
      </c>
      <c r="D935" s="12" t="str">
        <f>IF(B935=0,"",COUNTIFS('Extração'!O:O,"Sim",'Extração'!J:J,A935)/B935)</f>
        <v/>
      </c>
      <c r="E935" s="12" t="str">
        <f>IF(B935=0,"",COUNTIFS('Extração'!N:N,"Parcialmente",'Extração'!J:J,A935)/B935)</f>
        <v/>
      </c>
      <c r="F935" s="12" t="str">
        <f>IF(B935=0,"",COUNTIFS('Extração'!O:O,"Parcialmente",'Extração'!J:J,A935)/B935)</f>
        <v/>
      </c>
      <c r="G935" s="12" t="str">
        <f>IF(B935=0,"",COUNTIFS('Extração'!N:N,"Não",'Extração'!J:J,A935)/B935)</f>
        <v/>
      </c>
      <c r="H935" s="12" t="str">
        <f>IF(B935=0,"",COUNTIFS('Extração'!O:O,"Não",'Extração'!J:J,A935)/B935)</f>
        <v/>
      </c>
      <c r="I935" s="12" t="str">
        <f>IF(B935=0,"",COUNTIFS('Extração'!P:P,"Igual",'Extração'!J:J,A935)/B935)</f>
        <v/>
      </c>
    </row>
    <row r="936">
      <c r="B936" s="12">
        <f>COUNTIF('Extração'!J:J,A936)</f>
        <v>0</v>
      </c>
      <c r="C936" s="12" t="str">
        <f>IF(B936=0,"",COUNTIFS('Extração'!N:N,"Sim",'Extração'!J:J,A936)/B936)</f>
        <v/>
      </c>
      <c r="D936" s="12" t="str">
        <f>IF(B936=0,"",COUNTIFS('Extração'!O:O,"Sim",'Extração'!J:J,A936)/B936)</f>
        <v/>
      </c>
      <c r="E936" s="12" t="str">
        <f>IF(B936=0,"",COUNTIFS('Extração'!N:N,"Parcialmente",'Extração'!J:J,A936)/B936)</f>
        <v/>
      </c>
      <c r="F936" s="12" t="str">
        <f>IF(B936=0,"",COUNTIFS('Extração'!O:O,"Parcialmente",'Extração'!J:J,A936)/B936)</f>
        <v/>
      </c>
      <c r="G936" s="12" t="str">
        <f>IF(B936=0,"",COUNTIFS('Extração'!N:N,"Não",'Extração'!J:J,A936)/B936)</f>
        <v/>
      </c>
      <c r="H936" s="12" t="str">
        <f>IF(B936=0,"",COUNTIFS('Extração'!O:O,"Não",'Extração'!J:J,A936)/B936)</f>
        <v/>
      </c>
      <c r="I936" s="12" t="str">
        <f>IF(B936=0,"",COUNTIFS('Extração'!P:P,"Igual",'Extração'!J:J,A936)/B936)</f>
        <v/>
      </c>
    </row>
    <row r="937">
      <c r="B937" s="12">
        <f>COUNTIF('Extração'!J:J,A937)</f>
        <v>0</v>
      </c>
      <c r="C937" s="12" t="str">
        <f>IF(B937=0,"",COUNTIFS('Extração'!N:N,"Sim",'Extração'!J:J,A937)/B937)</f>
        <v/>
      </c>
      <c r="D937" s="12" t="str">
        <f>IF(B937=0,"",COUNTIFS('Extração'!O:O,"Sim",'Extração'!J:J,A937)/B937)</f>
        <v/>
      </c>
      <c r="E937" s="12" t="str">
        <f>IF(B937=0,"",COUNTIFS('Extração'!N:N,"Parcialmente",'Extração'!J:J,A937)/B937)</f>
        <v/>
      </c>
      <c r="F937" s="12" t="str">
        <f>IF(B937=0,"",COUNTIFS('Extração'!O:O,"Parcialmente",'Extração'!J:J,A937)/B937)</f>
        <v/>
      </c>
      <c r="G937" s="12" t="str">
        <f>IF(B937=0,"",COUNTIFS('Extração'!N:N,"Não",'Extração'!J:J,A937)/B937)</f>
        <v/>
      </c>
      <c r="H937" s="12" t="str">
        <f>IF(B937=0,"",COUNTIFS('Extração'!O:O,"Não",'Extração'!J:J,A937)/B937)</f>
        <v/>
      </c>
      <c r="I937" s="12" t="str">
        <f>IF(B937=0,"",COUNTIFS('Extração'!P:P,"Igual",'Extração'!J:J,A937)/B937)</f>
        <v/>
      </c>
    </row>
    <row r="938">
      <c r="B938" s="12">
        <f>COUNTIF('Extração'!J:J,A938)</f>
        <v>0</v>
      </c>
      <c r="C938" s="12" t="str">
        <f>IF(B938=0,"",COUNTIFS('Extração'!N:N,"Sim",'Extração'!J:J,A938)/B938)</f>
        <v/>
      </c>
      <c r="D938" s="12" t="str">
        <f>IF(B938=0,"",COUNTIFS('Extração'!O:O,"Sim",'Extração'!J:J,A938)/B938)</f>
        <v/>
      </c>
      <c r="E938" s="12" t="str">
        <f>IF(B938=0,"",COUNTIFS('Extração'!N:N,"Parcialmente",'Extração'!J:J,A938)/B938)</f>
        <v/>
      </c>
      <c r="F938" s="12" t="str">
        <f>IF(B938=0,"",COUNTIFS('Extração'!O:O,"Parcialmente",'Extração'!J:J,A938)/B938)</f>
        <v/>
      </c>
      <c r="G938" s="12" t="str">
        <f>IF(B938=0,"",COUNTIFS('Extração'!N:N,"Não",'Extração'!J:J,A938)/B938)</f>
        <v/>
      </c>
      <c r="H938" s="12" t="str">
        <f>IF(B938=0,"",COUNTIFS('Extração'!O:O,"Não",'Extração'!J:J,A938)/B938)</f>
        <v/>
      </c>
      <c r="I938" s="12" t="str">
        <f>IF(B938=0,"",COUNTIFS('Extração'!P:P,"Igual",'Extração'!J:J,A938)/B938)</f>
        <v/>
      </c>
    </row>
    <row r="939">
      <c r="B939" s="12">
        <f>COUNTIF('Extração'!J:J,A939)</f>
        <v>0</v>
      </c>
      <c r="C939" s="12" t="str">
        <f>IF(B939=0,"",COUNTIFS('Extração'!N:N,"Sim",'Extração'!J:J,A939)/B939)</f>
        <v/>
      </c>
      <c r="D939" s="12" t="str">
        <f>IF(B939=0,"",COUNTIFS('Extração'!O:O,"Sim",'Extração'!J:J,A939)/B939)</f>
        <v/>
      </c>
      <c r="E939" s="12" t="str">
        <f>IF(B939=0,"",COUNTIFS('Extração'!N:N,"Parcialmente",'Extração'!J:J,A939)/B939)</f>
        <v/>
      </c>
      <c r="F939" s="12" t="str">
        <f>IF(B939=0,"",COUNTIFS('Extração'!O:O,"Parcialmente",'Extração'!J:J,A939)/B939)</f>
        <v/>
      </c>
      <c r="G939" s="12" t="str">
        <f>IF(B939=0,"",COUNTIFS('Extração'!N:N,"Não",'Extração'!J:J,A939)/B939)</f>
        <v/>
      </c>
      <c r="H939" s="12" t="str">
        <f>IF(B939=0,"",COUNTIFS('Extração'!O:O,"Não",'Extração'!J:J,A939)/B939)</f>
        <v/>
      </c>
      <c r="I939" s="12" t="str">
        <f>IF(B939=0,"",COUNTIFS('Extração'!P:P,"Igual",'Extração'!J:J,A939)/B939)</f>
        <v/>
      </c>
    </row>
    <row r="940">
      <c r="B940" s="12">
        <f>COUNTIF('Extração'!J:J,A940)</f>
        <v>0</v>
      </c>
      <c r="C940" s="12" t="str">
        <f>IF(B940=0,"",COUNTIFS('Extração'!N:N,"Sim",'Extração'!J:J,A940)/B940)</f>
        <v/>
      </c>
      <c r="D940" s="12" t="str">
        <f>IF(B940=0,"",COUNTIFS('Extração'!O:O,"Sim",'Extração'!J:J,A940)/B940)</f>
        <v/>
      </c>
      <c r="E940" s="12" t="str">
        <f>IF(B940=0,"",COUNTIFS('Extração'!N:N,"Parcialmente",'Extração'!J:J,A940)/B940)</f>
        <v/>
      </c>
      <c r="F940" s="12" t="str">
        <f>IF(B940=0,"",COUNTIFS('Extração'!O:O,"Parcialmente",'Extração'!J:J,A940)/B940)</f>
        <v/>
      </c>
      <c r="G940" s="12" t="str">
        <f>IF(B940=0,"",COUNTIFS('Extração'!N:N,"Não",'Extração'!J:J,A940)/B940)</f>
        <v/>
      </c>
      <c r="H940" s="12" t="str">
        <f>IF(B940=0,"",COUNTIFS('Extração'!O:O,"Não",'Extração'!J:J,A940)/B940)</f>
        <v/>
      </c>
      <c r="I940" s="12" t="str">
        <f>IF(B940=0,"",COUNTIFS('Extração'!P:P,"Igual",'Extração'!J:J,A940)/B940)</f>
        <v/>
      </c>
    </row>
    <row r="941">
      <c r="B941" s="12">
        <f>COUNTIF('Extração'!J:J,A941)</f>
        <v>0</v>
      </c>
      <c r="C941" s="12" t="str">
        <f>IF(B941=0,"",COUNTIFS('Extração'!N:N,"Sim",'Extração'!J:J,A941)/B941)</f>
        <v/>
      </c>
      <c r="D941" s="12" t="str">
        <f>IF(B941=0,"",COUNTIFS('Extração'!O:O,"Sim",'Extração'!J:J,A941)/B941)</f>
        <v/>
      </c>
      <c r="E941" s="12" t="str">
        <f>IF(B941=0,"",COUNTIFS('Extração'!N:N,"Parcialmente",'Extração'!J:J,A941)/B941)</f>
        <v/>
      </c>
      <c r="F941" s="12" t="str">
        <f>IF(B941=0,"",COUNTIFS('Extração'!O:O,"Parcialmente",'Extração'!J:J,A941)/B941)</f>
        <v/>
      </c>
      <c r="G941" s="12" t="str">
        <f>IF(B941=0,"",COUNTIFS('Extração'!N:N,"Não",'Extração'!J:J,A941)/B941)</f>
        <v/>
      </c>
      <c r="H941" s="12" t="str">
        <f>IF(B941=0,"",COUNTIFS('Extração'!O:O,"Não",'Extração'!J:J,A941)/B941)</f>
        <v/>
      </c>
      <c r="I941" s="12" t="str">
        <f>IF(B941=0,"",COUNTIFS('Extração'!P:P,"Igual",'Extração'!J:J,A941)/B941)</f>
        <v/>
      </c>
    </row>
    <row r="942">
      <c r="B942" s="12">
        <f>COUNTIF('Extração'!J:J,A942)</f>
        <v>0</v>
      </c>
      <c r="C942" s="12" t="str">
        <f>IF(B942=0,"",COUNTIFS('Extração'!N:N,"Sim",'Extração'!J:J,A942)/B942)</f>
        <v/>
      </c>
      <c r="D942" s="12" t="str">
        <f>IF(B942=0,"",COUNTIFS('Extração'!O:O,"Sim",'Extração'!J:J,A942)/B942)</f>
        <v/>
      </c>
      <c r="E942" s="12" t="str">
        <f>IF(B942=0,"",COUNTIFS('Extração'!N:N,"Parcialmente",'Extração'!J:J,A942)/B942)</f>
        <v/>
      </c>
      <c r="F942" s="12" t="str">
        <f>IF(B942=0,"",COUNTIFS('Extração'!O:O,"Parcialmente",'Extração'!J:J,A942)/B942)</f>
        <v/>
      </c>
      <c r="G942" s="12" t="str">
        <f>IF(B942=0,"",COUNTIFS('Extração'!N:N,"Não",'Extração'!J:J,A942)/B942)</f>
        <v/>
      </c>
      <c r="H942" s="12" t="str">
        <f>IF(B942=0,"",COUNTIFS('Extração'!O:O,"Não",'Extração'!J:J,A942)/B942)</f>
        <v/>
      </c>
      <c r="I942" s="12" t="str">
        <f>IF(B942=0,"",COUNTIFS('Extração'!P:P,"Igual",'Extração'!J:J,A942)/B942)</f>
        <v/>
      </c>
    </row>
    <row r="943">
      <c r="B943" s="12">
        <f>COUNTIF('Extração'!J:J,A943)</f>
        <v>0</v>
      </c>
      <c r="C943" s="12" t="str">
        <f>IF(B943=0,"",COUNTIFS('Extração'!N:N,"Sim",'Extração'!J:J,A943)/B943)</f>
        <v/>
      </c>
      <c r="D943" s="12" t="str">
        <f>IF(B943=0,"",COUNTIFS('Extração'!O:O,"Sim",'Extração'!J:J,A943)/B943)</f>
        <v/>
      </c>
      <c r="E943" s="12" t="str">
        <f>IF(B943=0,"",COUNTIFS('Extração'!N:N,"Parcialmente",'Extração'!J:J,A943)/B943)</f>
        <v/>
      </c>
      <c r="F943" s="12" t="str">
        <f>IF(B943=0,"",COUNTIFS('Extração'!O:O,"Parcialmente",'Extração'!J:J,A943)/B943)</f>
        <v/>
      </c>
      <c r="G943" s="12" t="str">
        <f>IF(B943=0,"",COUNTIFS('Extração'!N:N,"Não",'Extração'!J:J,A943)/B943)</f>
        <v/>
      </c>
      <c r="H943" s="12" t="str">
        <f>IF(B943=0,"",COUNTIFS('Extração'!O:O,"Não",'Extração'!J:J,A943)/B943)</f>
        <v/>
      </c>
      <c r="I943" s="12" t="str">
        <f>IF(B943=0,"",COUNTIFS('Extração'!P:P,"Igual",'Extração'!J:J,A943)/B943)</f>
        <v/>
      </c>
    </row>
    <row r="944">
      <c r="B944" s="12">
        <f>COUNTIF('Extração'!J:J,A944)</f>
        <v>0</v>
      </c>
      <c r="C944" s="12" t="str">
        <f>IF(B944=0,"",COUNTIFS('Extração'!N:N,"Sim",'Extração'!J:J,A944)/B944)</f>
        <v/>
      </c>
      <c r="D944" s="12" t="str">
        <f>IF(B944=0,"",COUNTIFS('Extração'!O:O,"Sim",'Extração'!J:J,A944)/B944)</f>
        <v/>
      </c>
      <c r="E944" s="12" t="str">
        <f>IF(B944=0,"",COUNTIFS('Extração'!N:N,"Parcialmente",'Extração'!J:J,A944)/B944)</f>
        <v/>
      </c>
      <c r="F944" s="12" t="str">
        <f>IF(B944=0,"",COUNTIFS('Extração'!O:O,"Parcialmente",'Extração'!J:J,A944)/B944)</f>
        <v/>
      </c>
      <c r="G944" s="12" t="str">
        <f>IF(B944=0,"",COUNTIFS('Extração'!N:N,"Não",'Extração'!J:J,A944)/B944)</f>
        <v/>
      </c>
      <c r="H944" s="12" t="str">
        <f>IF(B944=0,"",COUNTIFS('Extração'!O:O,"Não",'Extração'!J:J,A944)/B944)</f>
        <v/>
      </c>
      <c r="I944" s="12" t="str">
        <f>IF(B944=0,"",COUNTIFS('Extração'!P:P,"Igual",'Extração'!J:J,A944)/B944)</f>
        <v/>
      </c>
    </row>
    <row r="945">
      <c r="B945" s="12">
        <f>COUNTIF('Extração'!J:J,A945)</f>
        <v>0</v>
      </c>
      <c r="C945" s="12" t="str">
        <f>IF(B945=0,"",COUNTIFS('Extração'!N:N,"Sim",'Extração'!J:J,A945)/B945)</f>
        <v/>
      </c>
      <c r="D945" s="12" t="str">
        <f>IF(B945=0,"",COUNTIFS('Extração'!O:O,"Sim",'Extração'!J:J,A945)/B945)</f>
        <v/>
      </c>
      <c r="E945" s="12" t="str">
        <f>IF(B945=0,"",COUNTIFS('Extração'!N:N,"Parcialmente",'Extração'!J:J,A945)/B945)</f>
        <v/>
      </c>
      <c r="F945" s="12" t="str">
        <f>IF(B945=0,"",COUNTIFS('Extração'!O:O,"Parcialmente",'Extração'!J:J,A945)/B945)</f>
        <v/>
      </c>
      <c r="G945" s="12" t="str">
        <f>IF(B945=0,"",COUNTIFS('Extração'!N:N,"Não",'Extração'!J:J,A945)/B945)</f>
        <v/>
      </c>
      <c r="H945" s="12" t="str">
        <f>IF(B945=0,"",COUNTIFS('Extração'!O:O,"Não",'Extração'!J:J,A945)/B945)</f>
        <v/>
      </c>
      <c r="I945" s="12" t="str">
        <f>IF(B945=0,"",COUNTIFS('Extração'!P:P,"Igual",'Extração'!J:J,A945)/B945)</f>
        <v/>
      </c>
    </row>
    <row r="946">
      <c r="B946" s="12">
        <f>COUNTIF('Extração'!J:J,A946)</f>
        <v>0</v>
      </c>
      <c r="C946" s="12" t="str">
        <f>IF(B946=0,"",COUNTIFS('Extração'!N:N,"Sim",'Extração'!J:J,A946)/B946)</f>
        <v/>
      </c>
      <c r="D946" s="12" t="str">
        <f>IF(B946=0,"",COUNTIFS('Extração'!O:O,"Sim",'Extração'!J:J,A946)/B946)</f>
        <v/>
      </c>
      <c r="E946" s="12" t="str">
        <f>IF(B946=0,"",COUNTIFS('Extração'!N:N,"Parcialmente",'Extração'!J:J,A946)/B946)</f>
        <v/>
      </c>
      <c r="F946" s="12" t="str">
        <f>IF(B946=0,"",COUNTIFS('Extração'!O:O,"Parcialmente",'Extração'!J:J,A946)/B946)</f>
        <v/>
      </c>
      <c r="G946" s="12" t="str">
        <f>IF(B946=0,"",COUNTIFS('Extração'!N:N,"Não",'Extração'!J:J,A946)/B946)</f>
        <v/>
      </c>
      <c r="H946" s="12" t="str">
        <f>IF(B946=0,"",COUNTIFS('Extração'!O:O,"Não",'Extração'!J:J,A946)/B946)</f>
        <v/>
      </c>
      <c r="I946" s="12" t="str">
        <f>IF(B946=0,"",COUNTIFS('Extração'!P:P,"Igual",'Extração'!J:J,A946)/B946)</f>
        <v/>
      </c>
    </row>
    <row r="947">
      <c r="B947" s="12">
        <f>COUNTIF('Extração'!J:J,A947)</f>
        <v>0</v>
      </c>
      <c r="C947" s="12" t="str">
        <f>IF(B947=0,"",COUNTIFS('Extração'!N:N,"Sim",'Extração'!J:J,A947)/B947)</f>
        <v/>
      </c>
      <c r="D947" s="12" t="str">
        <f>IF(B947=0,"",COUNTIFS('Extração'!O:O,"Sim",'Extração'!J:J,A947)/B947)</f>
        <v/>
      </c>
      <c r="E947" s="12" t="str">
        <f>IF(B947=0,"",COUNTIFS('Extração'!N:N,"Parcialmente",'Extração'!J:J,A947)/B947)</f>
        <v/>
      </c>
      <c r="F947" s="12" t="str">
        <f>IF(B947=0,"",COUNTIFS('Extração'!O:O,"Parcialmente",'Extração'!J:J,A947)/B947)</f>
        <v/>
      </c>
      <c r="G947" s="12" t="str">
        <f>IF(B947=0,"",COUNTIFS('Extração'!N:N,"Não",'Extração'!J:J,A947)/B947)</f>
        <v/>
      </c>
      <c r="H947" s="12" t="str">
        <f>IF(B947=0,"",COUNTIFS('Extração'!O:O,"Não",'Extração'!J:J,A947)/B947)</f>
        <v/>
      </c>
      <c r="I947" s="12" t="str">
        <f>IF(B947=0,"",COUNTIFS('Extração'!P:P,"Igual",'Extração'!J:J,A947)/B947)</f>
        <v/>
      </c>
    </row>
    <row r="948">
      <c r="B948" s="12">
        <f>COUNTIF('Extração'!J:J,A948)</f>
        <v>0</v>
      </c>
      <c r="C948" s="12" t="str">
        <f>IF(B948=0,"",COUNTIFS('Extração'!N:N,"Sim",'Extração'!J:J,A948)/B948)</f>
        <v/>
      </c>
      <c r="D948" s="12" t="str">
        <f>IF(B948=0,"",COUNTIFS('Extração'!O:O,"Sim",'Extração'!J:J,A948)/B948)</f>
        <v/>
      </c>
      <c r="E948" s="12" t="str">
        <f>IF(B948=0,"",COUNTIFS('Extração'!N:N,"Parcialmente",'Extração'!J:J,A948)/B948)</f>
        <v/>
      </c>
      <c r="F948" s="12" t="str">
        <f>IF(B948=0,"",COUNTIFS('Extração'!O:O,"Parcialmente",'Extração'!J:J,A948)/B948)</f>
        <v/>
      </c>
      <c r="G948" s="12" t="str">
        <f>IF(B948=0,"",COUNTIFS('Extração'!N:N,"Não",'Extração'!J:J,A948)/B948)</f>
        <v/>
      </c>
      <c r="H948" s="12" t="str">
        <f>IF(B948=0,"",COUNTIFS('Extração'!O:O,"Não",'Extração'!J:J,A948)/B948)</f>
        <v/>
      </c>
      <c r="I948" s="12" t="str">
        <f>IF(B948=0,"",COUNTIFS('Extração'!P:P,"Igual",'Extração'!J:J,A948)/B948)</f>
        <v/>
      </c>
    </row>
    <row r="949">
      <c r="B949" s="12">
        <f>COUNTIF('Extração'!J:J,A949)</f>
        <v>0</v>
      </c>
      <c r="C949" s="12" t="str">
        <f>IF(B949=0,"",COUNTIFS('Extração'!N:N,"Sim",'Extração'!J:J,A949)/B949)</f>
        <v/>
      </c>
      <c r="D949" s="12" t="str">
        <f>IF(B949=0,"",COUNTIFS('Extração'!O:O,"Sim",'Extração'!J:J,A949)/B949)</f>
        <v/>
      </c>
      <c r="E949" s="12" t="str">
        <f>IF(B949=0,"",COUNTIFS('Extração'!N:N,"Parcialmente",'Extração'!J:J,A949)/B949)</f>
        <v/>
      </c>
      <c r="F949" s="12" t="str">
        <f>IF(B949=0,"",COUNTIFS('Extração'!O:O,"Parcialmente",'Extração'!J:J,A949)/B949)</f>
        <v/>
      </c>
      <c r="G949" s="12" t="str">
        <f>IF(B949=0,"",COUNTIFS('Extração'!N:N,"Não",'Extração'!J:J,A949)/B949)</f>
        <v/>
      </c>
      <c r="H949" s="12" t="str">
        <f>IF(B949=0,"",COUNTIFS('Extração'!O:O,"Não",'Extração'!J:J,A949)/B949)</f>
        <v/>
      </c>
      <c r="I949" s="12" t="str">
        <f>IF(B949=0,"",COUNTIFS('Extração'!P:P,"Igual",'Extração'!J:J,A949)/B949)</f>
        <v/>
      </c>
    </row>
    <row r="950">
      <c r="B950" s="12">
        <f>COUNTIF('Extração'!J:J,A950)</f>
        <v>0</v>
      </c>
      <c r="C950" s="12" t="str">
        <f>IF(B950=0,"",COUNTIFS('Extração'!N:N,"Sim",'Extração'!J:J,A950)/B950)</f>
        <v/>
      </c>
      <c r="D950" s="12" t="str">
        <f>IF(B950=0,"",COUNTIFS('Extração'!O:O,"Sim",'Extração'!J:J,A950)/B950)</f>
        <v/>
      </c>
      <c r="E950" s="12" t="str">
        <f>IF(B950=0,"",COUNTIFS('Extração'!N:N,"Parcialmente",'Extração'!J:J,A950)/B950)</f>
        <v/>
      </c>
      <c r="F950" s="12" t="str">
        <f>IF(B950=0,"",COUNTIFS('Extração'!O:O,"Parcialmente",'Extração'!J:J,A950)/B950)</f>
        <v/>
      </c>
      <c r="G950" s="12" t="str">
        <f>IF(B950=0,"",COUNTIFS('Extração'!N:N,"Não",'Extração'!J:J,A950)/B950)</f>
        <v/>
      </c>
      <c r="H950" s="12" t="str">
        <f>IF(B950=0,"",COUNTIFS('Extração'!O:O,"Não",'Extração'!J:J,A950)/B950)</f>
        <v/>
      </c>
      <c r="I950" s="12" t="str">
        <f>IF(B950=0,"",COUNTIFS('Extração'!P:P,"Igual",'Extração'!J:J,A950)/B950)</f>
        <v/>
      </c>
    </row>
    <row r="951">
      <c r="B951" s="12">
        <f>COUNTIF('Extração'!J:J,A951)</f>
        <v>0</v>
      </c>
      <c r="C951" s="12" t="str">
        <f>IF(B951=0,"",COUNTIFS('Extração'!N:N,"Sim",'Extração'!J:J,A951)/B951)</f>
        <v/>
      </c>
      <c r="D951" s="12" t="str">
        <f>IF(B951=0,"",COUNTIFS('Extração'!O:O,"Sim",'Extração'!J:J,A951)/B951)</f>
        <v/>
      </c>
      <c r="E951" s="12" t="str">
        <f>IF(B951=0,"",COUNTIFS('Extração'!N:N,"Parcialmente",'Extração'!J:J,A951)/B951)</f>
        <v/>
      </c>
      <c r="F951" s="12" t="str">
        <f>IF(B951=0,"",COUNTIFS('Extração'!O:O,"Parcialmente",'Extração'!J:J,A951)/B951)</f>
        <v/>
      </c>
      <c r="G951" s="12" t="str">
        <f>IF(B951=0,"",COUNTIFS('Extração'!N:N,"Não",'Extração'!J:J,A951)/B951)</f>
        <v/>
      </c>
      <c r="H951" s="12" t="str">
        <f>IF(B951=0,"",COUNTIFS('Extração'!O:O,"Não",'Extração'!J:J,A951)/B951)</f>
        <v/>
      </c>
      <c r="I951" s="12" t="str">
        <f>IF(B951=0,"",COUNTIFS('Extração'!P:P,"Igual",'Extração'!J:J,A951)/B951)</f>
        <v/>
      </c>
    </row>
    <row r="952">
      <c r="B952" s="12">
        <f>COUNTIF('Extração'!J:J,A952)</f>
        <v>0</v>
      </c>
      <c r="C952" s="12" t="str">
        <f>IF(B952=0,"",COUNTIFS('Extração'!N:N,"Sim",'Extração'!J:J,A952)/B952)</f>
        <v/>
      </c>
      <c r="D952" s="12" t="str">
        <f>IF(B952=0,"",COUNTIFS('Extração'!O:O,"Sim",'Extração'!J:J,A952)/B952)</f>
        <v/>
      </c>
      <c r="E952" s="12" t="str">
        <f>IF(B952=0,"",COUNTIFS('Extração'!N:N,"Parcialmente",'Extração'!J:J,A952)/B952)</f>
        <v/>
      </c>
      <c r="F952" s="12" t="str">
        <f>IF(B952=0,"",COUNTIFS('Extração'!O:O,"Parcialmente",'Extração'!J:J,A952)/B952)</f>
        <v/>
      </c>
      <c r="G952" s="12" t="str">
        <f>IF(B952=0,"",COUNTIFS('Extração'!N:N,"Não",'Extração'!J:J,A952)/B952)</f>
        <v/>
      </c>
      <c r="H952" s="12" t="str">
        <f>IF(B952=0,"",COUNTIFS('Extração'!O:O,"Não",'Extração'!J:J,A952)/B952)</f>
        <v/>
      </c>
      <c r="I952" s="12" t="str">
        <f>IF(B952=0,"",COUNTIFS('Extração'!P:P,"Igual",'Extração'!J:J,A952)/B952)</f>
        <v/>
      </c>
    </row>
    <row r="953">
      <c r="B953" s="12">
        <f>COUNTIF('Extração'!J:J,A953)</f>
        <v>0</v>
      </c>
      <c r="C953" s="12" t="str">
        <f>IF(B953=0,"",COUNTIFS('Extração'!N:N,"Sim",'Extração'!J:J,A953)/B953)</f>
        <v/>
      </c>
      <c r="D953" s="12" t="str">
        <f>IF(B953=0,"",COUNTIFS('Extração'!O:O,"Sim",'Extração'!J:J,A953)/B953)</f>
        <v/>
      </c>
      <c r="E953" s="12" t="str">
        <f>IF(B953=0,"",COUNTIFS('Extração'!N:N,"Parcialmente",'Extração'!J:J,A953)/B953)</f>
        <v/>
      </c>
      <c r="F953" s="12" t="str">
        <f>IF(B953=0,"",COUNTIFS('Extração'!O:O,"Parcialmente",'Extração'!J:J,A953)/B953)</f>
        <v/>
      </c>
      <c r="G953" s="12" t="str">
        <f>IF(B953=0,"",COUNTIFS('Extração'!N:N,"Não",'Extração'!J:J,A953)/B953)</f>
        <v/>
      </c>
      <c r="H953" s="12" t="str">
        <f>IF(B953=0,"",COUNTIFS('Extração'!O:O,"Não",'Extração'!J:J,A953)/B953)</f>
        <v/>
      </c>
      <c r="I953" s="12" t="str">
        <f>IF(B953=0,"",COUNTIFS('Extração'!P:P,"Igual",'Extração'!J:J,A953)/B953)</f>
        <v/>
      </c>
    </row>
    <row r="954">
      <c r="B954" s="12">
        <f>COUNTIF('Extração'!J:J,A954)</f>
        <v>0</v>
      </c>
      <c r="C954" s="12" t="str">
        <f>IF(B954=0,"",COUNTIFS('Extração'!N:N,"Sim",'Extração'!J:J,A954)/B954)</f>
        <v/>
      </c>
      <c r="D954" s="12" t="str">
        <f>IF(B954=0,"",COUNTIFS('Extração'!O:O,"Sim",'Extração'!J:J,A954)/B954)</f>
        <v/>
      </c>
      <c r="E954" s="12" t="str">
        <f>IF(B954=0,"",COUNTIFS('Extração'!N:N,"Parcialmente",'Extração'!J:J,A954)/B954)</f>
        <v/>
      </c>
      <c r="F954" s="12" t="str">
        <f>IF(B954=0,"",COUNTIFS('Extração'!O:O,"Parcialmente",'Extração'!J:J,A954)/B954)</f>
        <v/>
      </c>
      <c r="G954" s="12" t="str">
        <f>IF(B954=0,"",COUNTIFS('Extração'!N:N,"Não",'Extração'!J:J,A954)/B954)</f>
        <v/>
      </c>
      <c r="H954" s="12" t="str">
        <f>IF(B954=0,"",COUNTIFS('Extração'!O:O,"Não",'Extração'!J:J,A954)/B954)</f>
        <v/>
      </c>
      <c r="I954" s="12" t="str">
        <f>IF(B954=0,"",COUNTIFS('Extração'!P:P,"Igual",'Extração'!J:J,A954)/B954)</f>
        <v/>
      </c>
    </row>
    <row r="955">
      <c r="B955" s="12">
        <f>COUNTIF('Extração'!J:J,A955)</f>
        <v>0</v>
      </c>
      <c r="C955" s="12" t="str">
        <f>IF(B955=0,"",COUNTIFS('Extração'!N:N,"Sim",'Extração'!J:J,A955)/B955)</f>
        <v/>
      </c>
      <c r="D955" s="12" t="str">
        <f>IF(B955=0,"",COUNTIFS('Extração'!O:O,"Sim",'Extração'!J:J,A955)/B955)</f>
        <v/>
      </c>
      <c r="E955" s="12" t="str">
        <f>IF(B955=0,"",COUNTIFS('Extração'!N:N,"Parcialmente",'Extração'!J:J,A955)/B955)</f>
        <v/>
      </c>
      <c r="F955" s="12" t="str">
        <f>IF(B955=0,"",COUNTIFS('Extração'!O:O,"Parcialmente",'Extração'!J:J,A955)/B955)</f>
        <v/>
      </c>
      <c r="G955" s="12" t="str">
        <f>IF(B955=0,"",COUNTIFS('Extração'!N:N,"Não",'Extração'!J:J,A955)/B955)</f>
        <v/>
      </c>
      <c r="H955" s="12" t="str">
        <f>IF(B955=0,"",COUNTIFS('Extração'!O:O,"Não",'Extração'!J:J,A955)/B955)</f>
        <v/>
      </c>
      <c r="I955" s="12" t="str">
        <f>IF(B955=0,"",COUNTIFS('Extração'!P:P,"Igual",'Extração'!J:J,A955)/B955)</f>
        <v/>
      </c>
    </row>
    <row r="956">
      <c r="B956" s="12">
        <f>COUNTIF('Extração'!J:J,A956)</f>
        <v>0</v>
      </c>
      <c r="C956" s="12" t="str">
        <f>IF(B956=0,"",COUNTIFS('Extração'!N:N,"Sim",'Extração'!J:J,A956)/B956)</f>
        <v/>
      </c>
      <c r="D956" s="12" t="str">
        <f>IF(B956=0,"",COUNTIFS('Extração'!O:O,"Sim",'Extração'!J:J,A956)/B956)</f>
        <v/>
      </c>
      <c r="E956" s="12" t="str">
        <f>IF(B956=0,"",COUNTIFS('Extração'!N:N,"Parcialmente",'Extração'!J:J,A956)/B956)</f>
        <v/>
      </c>
      <c r="F956" s="12" t="str">
        <f>IF(B956=0,"",COUNTIFS('Extração'!O:O,"Parcialmente",'Extração'!J:J,A956)/B956)</f>
        <v/>
      </c>
      <c r="G956" s="12" t="str">
        <f>IF(B956=0,"",COUNTIFS('Extração'!N:N,"Não",'Extração'!J:J,A956)/B956)</f>
        <v/>
      </c>
      <c r="H956" s="12" t="str">
        <f>IF(B956=0,"",COUNTIFS('Extração'!O:O,"Não",'Extração'!J:J,A956)/B956)</f>
        <v/>
      </c>
      <c r="I956" s="12" t="str">
        <f>IF(B956=0,"",COUNTIFS('Extração'!P:P,"Igual",'Extração'!J:J,A956)/B956)</f>
        <v/>
      </c>
    </row>
    <row r="957">
      <c r="B957" s="12">
        <f>COUNTIF('Extração'!J:J,A957)</f>
        <v>0</v>
      </c>
      <c r="C957" s="12" t="str">
        <f>IF(B957=0,"",COUNTIFS('Extração'!N:N,"Sim",'Extração'!J:J,A957)/B957)</f>
        <v/>
      </c>
      <c r="D957" s="12" t="str">
        <f>IF(B957=0,"",COUNTIFS('Extração'!O:O,"Sim",'Extração'!J:J,A957)/B957)</f>
        <v/>
      </c>
      <c r="E957" s="12" t="str">
        <f>IF(B957=0,"",COUNTIFS('Extração'!N:N,"Parcialmente",'Extração'!J:J,A957)/B957)</f>
        <v/>
      </c>
      <c r="F957" s="12" t="str">
        <f>IF(B957=0,"",COUNTIFS('Extração'!O:O,"Parcialmente",'Extração'!J:J,A957)/B957)</f>
        <v/>
      </c>
      <c r="G957" s="12" t="str">
        <f>IF(B957=0,"",COUNTIFS('Extração'!N:N,"Não",'Extração'!J:J,A957)/B957)</f>
        <v/>
      </c>
      <c r="H957" s="12" t="str">
        <f>IF(B957=0,"",COUNTIFS('Extração'!O:O,"Não",'Extração'!J:J,A957)/B957)</f>
        <v/>
      </c>
      <c r="I957" s="12" t="str">
        <f>IF(B957=0,"",COUNTIFS('Extração'!P:P,"Igual",'Extração'!J:J,A957)/B957)</f>
        <v/>
      </c>
    </row>
    <row r="958">
      <c r="B958" s="12">
        <f>COUNTIF('Extração'!J:J,A958)</f>
        <v>0</v>
      </c>
      <c r="C958" s="12" t="str">
        <f>IF(B958=0,"",COUNTIFS('Extração'!N:N,"Sim",'Extração'!J:J,A958)/B958)</f>
        <v/>
      </c>
      <c r="D958" s="12" t="str">
        <f>IF(B958=0,"",COUNTIFS('Extração'!O:O,"Sim",'Extração'!J:J,A958)/B958)</f>
        <v/>
      </c>
      <c r="E958" s="12" t="str">
        <f>IF(B958=0,"",COUNTIFS('Extração'!N:N,"Parcialmente",'Extração'!J:J,A958)/B958)</f>
        <v/>
      </c>
      <c r="F958" s="12" t="str">
        <f>IF(B958=0,"",COUNTIFS('Extração'!O:O,"Parcialmente",'Extração'!J:J,A958)/B958)</f>
        <v/>
      </c>
      <c r="G958" s="12" t="str">
        <f>IF(B958=0,"",COUNTIFS('Extração'!N:N,"Não",'Extração'!J:J,A958)/B958)</f>
        <v/>
      </c>
      <c r="H958" s="12" t="str">
        <f>IF(B958=0,"",COUNTIFS('Extração'!O:O,"Não",'Extração'!J:J,A958)/B958)</f>
        <v/>
      </c>
      <c r="I958" s="12" t="str">
        <f>IF(B958=0,"",COUNTIFS('Extração'!P:P,"Igual",'Extração'!J:J,A958)/B958)</f>
        <v/>
      </c>
    </row>
    <row r="959">
      <c r="B959" s="12">
        <f>COUNTIF('Extração'!J:J,A959)</f>
        <v>0</v>
      </c>
      <c r="C959" s="12" t="str">
        <f>IF(B959=0,"",COUNTIFS('Extração'!N:N,"Sim",'Extração'!J:J,A959)/B959)</f>
        <v/>
      </c>
      <c r="D959" s="12" t="str">
        <f>IF(B959=0,"",COUNTIFS('Extração'!O:O,"Sim",'Extração'!J:J,A959)/B959)</f>
        <v/>
      </c>
      <c r="E959" s="12" t="str">
        <f>IF(B959=0,"",COUNTIFS('Extração'!N:N,"Parcialmente",'Extração'!J:J,A959)/B959)</f>
        <v/>
      </c>
      <c r="F959" s="12" t="str">
        <f>IF(B959=0,"",COUNTIFS('Extração'!O:O,"Parcialmente",'Extração'!J:J,A959)/B959)</f>
        <v/>
      </c>
      <c r="G959" s="12" t="str">
        <f>IF(B959=0,"",COUNTIFS('Extração'!N:N,"Não",'Extração'!J:J,A959)/B959)</f>
        <v/>
      </c>
      <c r="H959" s="12" t="str">
        <f>IF(B959=0,"",COUNTIFS('Extração'!O:O,"Não",'Extração'!J:J,A959)/B959)</f>
        <v/>
      </c>
      <c r="I959" s="12" t="str">
        <f>IF(B959=0,"",COUNTIFS('Extração'!P:P,"Igual",'Extração'!J:J,A959)/B959)</f>
        <v/>
      </c>
    </row>
    <row r="960">
      <c r="B960" s="12">
        <f>COUNTIF('Extração'!J:J,A960)</f>
        <v>0</v>
      </c>
      <c r="C960" s="12" t="str">
        <f>IF(B960=0,"",COUNTIFS('Extração'!N:N,"Sim",'Extração'!J:J,A960)/B960)</f>
        <v/>
      </c>
      <c r="D960" s="12" t="str">
        <f>IF(B960=0,"",COUNTIFS('Extração'!O:O,"Sim",'Extração'!J:J,A960)/B960)</f>
        <v/>
      </c>
      <c r="E960" s="12" t="str">
        <f>IF(B960=0,"",COUNTIFS('Extração'!N:N,"Parcialmente",'Extração'!J:J,A960)/B960)</f>
        <v/>
      </c>
      <c r="F960" s="12" t="str">
        <f>IF(B960=0,"",COUNTIFS('Extração'!O:O,"Parcialmente",'Extração'!J:J,A960)/B960)</f>
        <v/>
      </c>
      <c r="G960" s="12" t="str">
        <f>IF(B960=0,"",COUNTIFS('Extração'!N:N,"Não",'Extração'!J:J,A960)/B960)</f>
        <v/>
      </c>
      <c r="H960" s="12" t="str">
        <f>IF(B960=0,"",COUNTIFS('Extração'!O:O,"Não",'Extração'!J:J,A960)/B960)</f>
        <v/>
      </c>
      <c r="I960" s="12" t="str">
        <f>IF(B960=0,"",COUNTIFS('Extração'!P:P,"Igual",'Extração'!J:J,A960)/B960)</f>
        <v/>
      </c>
    </row>
    <row r="961">
      <c r="B961" s="12">
        <f>COUNTIF('Extração'!J:J,A961)</f>
        <v>0</v>
      </c>
      <c r="C961" s="12" t="str">
        <f>IF(B961=0,"",COUNTIFS('Extração'!N:N,"Sim",'Extração'!J:J,A961)/B961)</f>
        <v/>
      </c>
      <c r="D961" s="12" t="str">
        <f>IF(B961=0,"",COUNTIFS('Extração'!O:O,"Sim",'Extração'!J:J,A961)/B961)</f>
        <v/>
      </c>
      <c r="E961" s="12" t="str">
        <f>IF(B961=0,"",COUNTIFS('Extração'!N:N,"Parcialmente",'Extração'!J:J,A961)/B961)</f>
        <v/>
      </c>
      <c r="F961" s="12" t="str">
        <f>IF(B961=0,"",COUNTIFS('Extração'!O:O,"Parcialmente",'Extração'!J:J,A961)/B961)</f>
        <v/>
      </c>
      <c r="G961" s="12" t="str">
        <f>IF(B961=0,"",COUNTIFS('Extração'!N:N,"Não",'Extração'!J:J,A961)/B961)</f>
        <v/>
      </c>
      <c r="H961" s="12" t="str">
        <f>IF(B961=0,"",COUNTIFS('Extração'!O:O,"Não",'Extração'!J:J,A961)/B961)</f>
        <v/>
      </c>
      <c r="I961" s="12" t="str">
        <f>IF(B961=0,"",COUNTIFS('Extração'!P:P,"Igual",'Extração'!J:J,A961)/B961)</f>
        <v/>
      </c>
    </row>
    <row r="962">
      <c r="B962" s="12">
        <f>COUNTIF('Extração'!J:J,A962)</f>
        <v>0</v>
      </c>
      <c r="C962" s="12" t="str">
        <f>IF(B962=0,"",COUNTIFS('Extração'!N:N,"Sim",'Extração'!J:J,A962)/B962)</f>
        <v/>
      </c>
      <c r="D962" s="12" t="str">
        <f>IF(B962=0,"",COUNTIFS('Extração'!O:O,"Sim",'Extração'!J:J,A962)/B962)</f>
        <v/>
      </c>
      <c r="E962" s="12" t="str">
        <f>IF(B962=0,"",COUNTIFS('Extração'!N:N,"Parcialmente",'Extração'!J:J,A962)/B962)</f>
        <v/>
      </c>
      <c r="F962" s="12" t="str">
        <f>IF(B962=0,"",COUNTIFS('Extração'!O:O,"Parcialmente",'Extração'!J:J,A962)/B962)</f>
        <v/>
      </c>
      <c r="G962" s="12" t="str">
        <f>IF(B962=0,"",COUNTIFS('Extração'!N:N,"Não",'Extração'!J:J,A962)/B962)</f>
        <v/>
      </c>
      <c r="H962" s="12" t="str">
        <f>IF(B962=0,"",COUNTIFS('Extração'!O:O,"Não",'Extração'!J:J,A962)/B962)</f>
        <v/>
      </c>
      <c r="I962" s="12" t="str">
        <f>IF(B962=0,"",COUNTIFS('Extração'!P:P,"Igual",'Extração'!J:J,A962)/B962)</f>
        <v/>
      </c>
    </row>
    <row r="963">
      <c r="B963" s="12">
        <f>COUNTIF('Extração'!J:J,A963)</f>
        <v>0</v>
      </c>
      <c r="C963" s="12" t="str">
        <f>IF(B963=0,"",COUNTIFS('Extração'!N:N,"Sim",'Extração'!J:J,A963)/B963)</f>
        <v/>
      </c>
      <c r="D963" s="12" t="str">
        <f>IF(B963=0,"",COUNTIFS('Extração'!O:O,"Sim",'Extração'!J:J,A963)/B963)</f>
        <v/>
      </c>
      <c r="E963" s="12" t="str">
        <f>IF(B963=0,"",COUNTIFS('Extração'!N:N,"Parcialmente",'Extração'!J:J,A963)/B963)</f>
        <v/>
      </c>
      <c r="F963" s="12" t="str">
        <f>IF(B963=0,"",COUNTIFS('Extração'!O:O,"Parcialmente",'Extração'!J:J,A963)/B963)</f>
        <v/>
      </c>
      <c r="G963" s="12" t="str">
        <f>IF(B963=0,"",COUNTIFS('Extração'!N:N,"Não",'Extração'!J:J,A963)/B963)</f>
        <v/>
      </c>
      <c r="H963" s="12" t="str">
        <f>IF(B963=0,"",COUNTIFS('Extração'!O:O,"Não",'Extração'!J:J,A963)/B963)</f>
        <v/>
      </c>
      <c r="I963" s="12" t="str">
        <f>IF(B963=0,"",COUNTIFS('Extração'!P:P,"Igual",'Extração'!J:J,A963)/B963)</f>
        <v/>
      </c>
    </row>
    <row r="964">
      <c r="B964" s="12">
        <f>COUNTIF('Extração'!J:J,A964)</f>
        <v>0</v>
      </c>
      <c r="C964" s="12" t="str">
        <f>IF(B964=0,"",COUNTIFS('Extração'!N:N,"Sim",'Extração'!J:J,A964)/B964)</f>
        <v/>
      </c>
      <c r="D964" s="12" t="str">
        <f>IF(B964=0,"",COUNTIFS('Extração'!O:O,"Sim",'Extração'!J:J,A964)/B964)</f>
        <v/>
      </c>
      <c r="E964" s="12" t="str">
        <f>IF(B964=0,"",COUNTIFS('Extração'!N:N,"Parcialmente",'Extração'!J:J,A964)/B964)</f>
        <v/>
      </c>
      <c r="F964" s="12" t="str">
        <f>IF(B964=0,"",COUNTIFS('Extração'!O:O,"Parcialmente",'Extração'!J:J,A964)/B964)</f>
        <v/>
      </c>
      <c r="G964" s="12" t="str">
        <f>IF(B964=0,"",COUNTIFS('Extração'!N:N,"Não",'Extração'!J:J,A964)/B964)</f>
        <v/>
      </c>
      <c r="H964" s="12" t="str">
        <f>IF(B964=0,"",COUNTIFS('Extração'!O:O,"Não",'Extração'!J:J,A964)/B964)</f>
        <v/>
      </c>
      <c r="I964" s="12" t="str">
        <f>IF(B964=0,"",COUNTIFS('Extração'!P:P,"Igual",'Extração'!J:J,A964)/B964)</f>
        <v/>
      </c>
    </row>
    <row r="965">
      <c r="B965" s="12">
        <f>COUNTIF('Extração'!J:J,A965)</f>
        <v>0</v>
      </c>
      <c r="C965" s="12" t="str">
        <f>IF(B965=0,"",COUNTIFS('Extração'!N:N,"Sim",'Extração'!J:J,A965)/B965)</f>
        <v/>
      </c>
      <c r="D965" s="12" t="str">
        <f>IF(B965=0,"",COUNTIFS('Extração'!O:O,"Sim",'Extração'!J:J,A965)/B965)</f>
        <v/>
      </c>
      <c r="E965" s="12" t="str">
        <f>IF(B965=0,"",COUNTIFS('Extração'!N:N,"Parcialmente",'Extração'!J:J,A965)/B965)</f>
        <v/>
      </c>
      <c r="F965" s="12" t="str">
        <f>IF(B965=0,"",COUNTIFS('Extração'!O:O,"Parcialmente",'Extração'!J:J,A965)/B965)</f>
        <v/>
      </c>
      <c r="G965" s="12" t="str">
        <f>IF(B965=0,"",COUNTIFS('Extração'!N:N,"Não",'Extração'!J:J,A965)/B965)</f>
        <v/>
      </c>
      <c r="H965" s="12" t="str">
        <f>IF(B965=0,"",COUNTIFS('Extração'!O:O,"Não",'Extração'!J:J,A965)/B965)</f>
        <v/>
      </c>
      <c r="I965" s="12" t="str">
        <f>IF(B965=0,"",COUNTIFS('Extração'!P:P,"Igual",'Extração'!J:J,A965)/B965)</f>
        <v/>
      </c>
    </row>
    <row r="966">
      <c r="B966" s="12">
        <f>COUNTIF('Extração'!J:J,A966)</f>
        <v>0</v>
      </c>
      <c r="C966" s="12" t="str">
        <f>IF(B966=0,"",COUNTIFS('Extração'!N:N,"Sim",'Extração'!J:J,A966)/B966)</f>
        <v/>
      </c>
      <c r="D966" s="12" t="str">
        <f>IF(B966=0,"",COUNTIFS('Extração'!O:O,"Sim",'Extração'!J:J,A966)/B966)</f>
        <v/>
      </c>
      <c r="E966" s="12" t="str">
        <f>IF(B966=0,"",COUNTIFS('Extração'!N:N,"Parcialmente",'Extração'!J:J,A966)/B966)</f>
        <v/>
      </c>
      <c r="F966" s="12" t="str">
        <f>IF(B966=0,"",COUNTIFS('Extração'!O:O,"Parcialmente",'Extração'!J:J,A966)/B966)</f>
        <v/>
      </c>
      <c r="G966" s="12" t="str">
        <f>IF(B966=0,"",COUNTIFS('Extração'!N:N,"Não",'Extração'!J:J,A966)/B966)</f>
        <v/>
      </c>
      <c r="H966" s="12" t="str">
        <f>IF(B966=0,"",COUNTIFS('Extração'!O:O,"Não",'Extração'!J:J,A966)/B966)</f>
        <v/>
      </c>
      <c r="I966" s="12" t="str">
        <f>IF(B966=0,"",COUNTIFS('Extração'!P:P,"Igual",'Extração'!J:J,A966)/B966)</f>
        <v/>
      </c>
    </row>
    <row r="967">
      <c r="B967" s="12">
        <f>COUNTIF('Extração'!J:J,A967)</f>
        <v>0</v>
      </c>
      <c r="C967" s="12" t="str">
        <f>IF(B967=0,"",COUNTIFS('Extração'!N:N,"Sim",'Extração'!J:J,A967)/B967)</f>
        <v/>
      </c>
      <c r="D967" s="12" t="str">
        <f>IF(B967=0,"",COUNTIFS('Extração'!O:O,"Sim",'Extração'!J:J,A967)/B967)</f>
        <v/>
      </c>
      <c r="E967" s="12" t="str">
        <f>IF(B967=0,"",COUNTIFS('Extração'!N:N,"Parcialmente",'Extração'!J:J,A967)/B967)</f>
        <v/>
      </c>
      <c r="F967" s="12" t="str">
        <f>IF(B967=0,"",COUNTIFS('Extração'!O:O,"Parcialmente",'Extração'!J:J,A967)/B967)</f>
        <v/>
      </c>
      <c r="G967" s="12" t="str">
        <f>IF(B967=0,"",COUNTIFS('Extração'!N:N,"Não",'Extração'!J:J,A967)/B967)</f>
        <v/>
      </c>
      <c r="H967" s="12" t="str">
        <f>IF(B967=0,"",COUNTIFS('Extração'!O:O,"Não",'Extração'!J:J,A967)/B967)</f>
        <v/>
      </c>
      <c r="I967" s="12" t="str">
        <f>IF(B967=0,"",COUNTIFS('Extração'!P:P,"Igual",'Extração'!J:J,A967)/B967)</f>
        <v/>
      </c>
    </row>
    <row r="968">
      <c r="B968" s="12">
        <f>COUNTIF('Extração'!J:J,A968)</f>
        <v>0</v>
      </c>
      <c r="C968" s="12" t="str">
        <f>IF(B968=0,"",COUNTIFS('Extração'!N:N,"Sim",'Extração'!J:J,A968)/B968)</f>
        <v/>
      </c>
      <c r="D968" s="12" t="str">
        <f>IF(B968=0,"",COUNTIFS('Extração'!O:O,"Sim",'Extração'!J:J,A968)/B968)</f>
        <v/>
      </c>
      <c r="E968" s="12" t="str">
        <f>IF(B968=0,"",COUNTIFS('Extração'!N:N,"Parcialmente",'Extração'!J:J,A968)/B968)</f>
        <v/>
      </c>
      <c r="F968" s="12" t="str">
        <f>IF(B968=0,"",COUNTIFS('Extração'!O:O,"Parcialmente",'Extração'!J:J,A968)/B968)</f>
        <v/>
      </c>
      <c r="G968" s="12" t="str">
        <f>IF(B968=0,"",COUNTIFS('Extração'!N:N,"Não",'Extração'!J:J,A968)/B968)</f>
        <v/>
      </c>
      <c r="H968" s="12" t="str">
        <f>IF(B968=0,"",COUNTIFS('Extração'!O:O,"Não",'Extração'!J:J,A968)/B968)</f>
        <v/>
      </c>
      <c r="I968" s="12" t="str">
        <f>IF(B968=0,"",COUNTIFS('Extração'!P:P,"Igual",'Extração'!J:J,A968)/B968)</f>
        <v/>
      </c>
    </row>
    <row r="969">
      <c r="B969" s="12">
        <f>COUNTIF('Extração'!J:J,A969)</f>
        <v>0</v>
      </c>
      <c r="C969" s="12" t="str">
        <f>IF(B969=0,"",COUNTIFS('Extração'!N:N,"Sim",'Extração'!J:J,A969)/B969)</f>
        <v/>
      </c>
      <c r="D969" s="12" t="str">
        <f>IF(B969=0,"",COUNTIFS('Extração'!O:O,"Sim",'Extração'!J:J,A969)/B969)</f>
        <v/>
      </c>
      <c r="E969" s="12" t="str">
        <f>IF(B969=0,"",COUNTIFS('Extração'!N:N,"Parcialmente",'Extração'!J:J,A969)/B969)</f>
        <v/>
      </c>
      <c r="F969" s="12" t="str">
        <f>IF(B969=0,"",COUNTIFS('Extração'!O:O,"Parcialmente",'Extração'!J:J,A969)/B969)</f>
        <v/>
      </c>
      <c r="G969" s="12" t="str">
        <f>IF(B969=0,"",COUNTIFS('Extração'!N:N,"Não",'Extração'!J:J,A969)/B969)</f>
        <v/>
      </c>
      <c r="H969" s="12" t="str">
        <f>IF(B969=0,"",COUNTIFS('Extração'!O:O,"Não",'Extração'!J:J,A969)/B969)</f>
        <v/>
      </c>
      <c r="I969" s="12" t="str">
        <f>IF(B969=0,"",COUNTIFS('Extração'!P:P,"Igual",'Extração'!J:J,A969)/B969)</f>
        <v/>
      </c>
    </row>
    <row r="970">
      <c r="B970" s="12">
        <f>COUNTIF('Extração'!J:J,A970)</f>
        <v>0</v>
      </c>
      <c r="C970" s="12" t="str">
        <f>IF(B970=0,"",COUNTIFS('Extração'!N:N,"Sim",'Extração'!J:J,A970)/B970)</f>
        <v/>
      </c>
      <c r="D970" s="12" t="str">
        <f>IF(B970=0,"",COUNTIFS('Extração'!O:O,"Sim",'Extração'!J:J,A970)/B970)</f>
        <v/>
      </c>
      <c r="E970" s="12" t="str">
        <f>IF(B970=0,"",COUNTIFS('Extração'!N:N,"Parcialmente",'Extração'!J:J,A970)/B970)</f>
        <v/>
      </c>
      <c r="F970" s="12" t="str">
        <f>IF(B970=0,"",COUNTIFS('Extração'!O:O,"Parcialmente",'Extração'!J:J,A970)/B970)</f>
        <v/>
      </c>
      <c r="G970" s="12" t="str">
        <f>IF(B970=0,"",COUNTIFS('Extração'!N:N,"Não",'Extração'!J:J,A970)/B970)</f>
        <v/>
      </c>
      <c r="H970" s="12" t="str">
        <f>IF(B970=0,"",COUNTIFS('Extração'!O:O,"Não",'Extração'!J:J,A970)/B970)</f>
        <v/>
      </c>
      <c r="I970" s="12" t="str">
        <f>IF(B970=0,"",COUNTIFS('Extração'!P:P,"Igual",'Extração'!J:J,A970)/B970)</f>
        <v/>
      </c>
    </row>
    <row r="971">
      <c r="B971" s="12">
        <f>COUNTIF('Extração'!J:J,A971)</f>
        <v>0</v>
      </c>
      <c r="C971" s="12" t="str">
        <f>IF(B971=0,"",COUNTIFS('Extração'!N:N,"Sim",'Extração'!J:J,A971)/B971)</f>
        <v/>
      </c>
      <c r="D971" s="12" t="str">
        <f>IF(B971=0,"",COUNTIFS('Extração'!O:O,"Sim",'Extração'!J:J,A971)/B971)</f>
        <v/>
      </c>
      <c r="E971" s="12" t="str">
        <f>IF(B971=0,"",COUNTIFS('Extração'!N:N,"Parcialmente",'Extração'!J:J,A971)/B971)</f>
        <v/>
      </c>
      <c r="F971" s="12" t="str">
        <f>IF(B971=0,"",COUNTIFS('Extração'!O:O,"Parcialmente",'Extração'!J:J,A971)/B971)</f>
        <v/>
      </c>
      <c r="G971" s="12" t="str">
        <f>IF(B971=0,"",COUNTIFS('Extração'!N:N,"Não",'Extração'!J:J,A971)/B971)</f>
        <v/>
      </c>
      <c r="H971" s="12" t="str">
        <f>IF(B971=0,"",COUNTIFS('Extração'!O:O,"Não",'Extração'!J:J,A971)/B971)</f>
        <v/>
      </c>
      <c r="I971" s="12" t="str">
        <f>IF(B971=0,"",COUNTIFS('Extração'!P:P,"Igual",'Extração'!J:J,A971)/B971)</f>
        <v/>
      </c>
    </row>
    <row r="972">
      <c r="B972" s="12">
        <f>COUNTIF('Extração'!J:J,A972)</f>
        <v>0</v>
      </c>
      <c r="C972" s="12" t="str">
        <f>IF(B972=0,"",COUNTIFS('Extração'!N:N,"Sim",'Extração'!J:J,A972)/B972)</f>
        <v/>
      </c>
      <c r="D972" s="12" t="str">
        <f>IF(B972=0,"",COUNTIFS('Extração'!O:O,"Sim",'Extração'!J:J,A972)/B972)</f>
        <v/>
      </c>
      <c r="E972" s="12" t="str">
        <f>IF(B972=0,"",COUNTIFS('Extração'!N:N,"Parcialmente",'Extração'!J:J,A972)/B972)</f>
        <v/>
      </c>
      <c r="F972" s="12" t="str">
        <f>IF(B972=0,"",COUNTIFS('Extração'!O:O,"Parcialmente",'Extração'!J:J,A972)/B972)</f>
        <v/>
      </c>
      <c r="G972" s="12" t="str">
        <f>IF(B972=0,"",COUNTIFS('Extração'!N:N,"Não",'Extração'!J:J,A972)/B972)</f>
        <v/>
      </c>
      <c r="H972" s="12" t="str">
        <f>IF(B972=0,"",COUNTIFS('Extração'!O:O,"Não",'Extração'!J:J,A972)/B972)</f>
        <v/>
      </c>
      <c r="I972" s="12" t="str">
        <f>IF(B972=0,"",COUNTIFS('Extração'!P:P,"Igual",'Extração'!J:J,A972)/B972)</f>
        <v/>
      </c>
    </row>
    <row r="973">
      <c r="B973" s="12">
        <f>COUNTIF('Extração'!J:J,A973)</f>
        <v>0</v>
      </c>
      <c r="C973" s="12" t="str">
        <f>IF(B973=0,"",COUNTIFS('Extração'!N:N,"Sim",'Extração'!J:J,A973)/B973)</f>
        <v/>
      </c>
      <c r="D973" s="12" t="str">
        <f>IF(B973=0,"",COUNTIFS('Extração'!O:O,"Sim",'Extração'!J:J,A973)/B973)</f>
        <v/>
      </c>
      <c r="E973" s="12" t="str">
        <f>IF(B973=0,"",COUNTIFS('Extração'!N:N,"Parcialmente",'Extração'!J:J,A973)/B973)</f>
        <v/>
      </c>
      <c r="F973" s="12" t="str">
        <f>IF(B973=0,"",COUNTIFS('Extração'!O:O,"Parcialmente",'Extração'!J:J,A973)/B973)</f>
        <v/>
      </c>
      <c r="G973" s="12" t="str">
        <f>IF(B973=0,"",COUNTIFS('Extração'!N:N,"Não",'Extração'!J:J,A973)/B973)</f>
        <v/>
      </c>
      <c r="H973" s="12" t="str">
        <f>IF(B973=0,"",COUNTIFS('Extração'!O:O,"Não",'Extração'!J:J,A973)/B973)</f>
        <v/>
      </c>
      <c r="I973" s="12" t="str">
        <f>IF(B973=0,"",COUNTIFS('Extração'!P:P,"Igual",'Extração'!J:J,A973)/B973)</f>
        <v/>
      </c>
    </row>
    <row r="974">
      <c r="B974" s="12">
        <f>COUNTIF('Extração'!J:J,A974)</f>
        <v>0</v>
      </c>
      <c r="C974" s="12" t="str">
        <f>IF(B974=0,"",COUNTIFS('Extração'!N:N,"Sim",'Extração'!J:J,A974)/B974)</f>
        <v/>
      </c>
      <c r="D974" s="12" t="str">
        <f>IF(B974=0,"",COUNTIFS('Extração'!O:O,"Sim",'Extração'!J:J,A974)/B974)</f>
        <v/>
      </c>
      <c r="E974" s="12" t="str">
        <f>IF(B974=0,"",COUNTIFS('Extração'!N:N,"Parcialmente",'Extração'!J:J,A974)/B974)</f>
        <v/>
      </c>
      <c r="F974" s="12" t="str">
        <f>IF(B974=0,"",COUNTIFS('Extração'!O:O,"Parcialmente",'Extração'!J:J,A974)/B974)</f>
        <v/>
      </c>
      <c r="G974" s="12" t="str">
        <f>IF(B974=0,"",COUNTIFS('Extração'!N:N,"Não",'Extração'!J:J,A974)/B974)</f>
        <v/>
      </c>
      <c r="H974" s="12" t="str">
        <f>IF(B974=0,"",COUNTIFS('Extração'!O:O,"Não",'Extração'!J:J,A974)/B974)</f>
        <v/>
      </c>
      <c r="I974" s="12" t="str">
        <f>IF(B974=0,"",COUNTIFS('Extração'!P:P,"Igual",'Extração'!J:J,A974)/B974)</f>
        <v/>
      </c>
    </row>
    <row r="975">
      <c r="B975" s="12">
        <f>COUNTIF('Extração'!J:J,A975)</f>
        <v>0</v>
      </c>
      <c r="C975" s="12" t="str">
        <f>IF(B975=0,"",COUNTIFS('Extração'!N:N,"Sim",'Extração'!J:J,A975)/B975)</f>
        <v/>
      </c>
      <c r="D975" s="12" t="str">
        <f>IF(B975=0,"",COUNTIFS('Extração'!O:O,"Sim",'Extração'!J:J,A975)/B975)</f>
        <v/>
      </c>
      <c r="E975" s="12" t="str">
        <f>IF(B975=0,"",COUNTIFS('Extração'!N:N,"Parcialmente",'Extração'!J:J,A975)/B975)</f>
        <v/>
      </c>
      <c r="F975" s="12" t="str">
        <f>IF(B975=0,"",COUNTIFS('Extração'!O:O,"Parcialmente",'Extração'!J:J,A975)/B975)</f>
        <v/>
      </c>
      <c r="G975" s="12" t="str">
        <f>IF(B975=0,"",COUNTIFS('Extração'!N:N,"Não",'Extração'!J:J,A975)/B975)</f>
        <v/>
      </c>
      <c r="H975" s="12" t="str">
        <f>IF(B975=0,"",COUNTIFS('Extração'!O:O,"Não",'Extração'!J:J,A975)/B975)</f>
        <v/>
      </c>
      <c r="I975" s="12" t="str">
        <f>IF(B975=0,"",COUNTIFS('Extração'!P:P,"Igual",'Extração'!J:J,A975)/B975)</f>
        <v/>
      </c>
    </row>
    <row r="976">
      <c r="B976" s="12">
        <f>COUNTIF('Extração'!J:J,A976)</f>
        <v>0</v>
      </c>
      <c r="C976" s="12" t="str">
        <f>IF(B976=0,"",COUNTIFS('Extração'!N:N,"Sim",'Extração'!J:J,A976)/B976)</f>
        <v/>
      </c>
      <c r="D976" s="12" t="str">
        <f>IF(B976=0,"",COUNTIFS('Extração'!O:O,"Sim",'Extração'!J:J,A976)/B976)</f>
        <v/>
      </c>
      <c r="E976" s="12" t="str">
        <f>IF(B976=0,"",COUNTIFS('Extração'!N:N,"Parcialmente",'Extração'!J:J,A976)/B976)</f>
        <v/>
      </c>
      <c r="F976" s="12" t="str">
        <f>IF(B976=0,"",COUNTIFS('Extração'!O:O,"Parcialmente",'Extração'!J:J,A976)/B976)</f>
        <v/>
      </c>
      <c r="G976" s="12" t="str">
        <f>IF(B976=0,"",COUNTIFS('Extração'!N:N,"Não",'Extração'!J:J,A976)/B976)</f>
        <v/>
      </c>
      <c r="H976" s="12" t="str">
        <f>IF(B976=0,"",COUNTIFS('Extração'!O:O,"Não",'Extração'!J:J,A976)/B976)</f>
        <v/>
      </c>
      <c r="I976" s="12" t="str">
        <f>IF(B976=0,"",COUNTIFS('Extração'!P:P,"Igual",'Extração'!J:J,A976)/B976)</f>
        <v/>
      </c>
    </row>
    <row r="977">
      <c r="B977" s="12">
        <f>COUNTIF('Extração'!J:J,A977)</f>
        <v>0</v>
      </c>
      <c r="C977" s="12" t="str">
        <f>IF(B977=0,"",COUNTIFS('Extração'!N:N,"Sim",'Extração'!J:J,A977)/B977)</f>
        <v/>
      </c>
      <c r="D977" s="12" t="str">
        <f>IF(B977=0,"",COUNTIFS('Extração'!O:O,"Sim",'Extração'!J:J,A977)/B977)</f>
        <v/>
      </c>
      <c r="E977" s="12" t="str">
        <f>IF(B977=0,"",COUNTIFS('Extração'!N:N,"Parcialmente",'Extração'!J:J,A977)/B977)</f>
        <v/>
      </c>
      <c r="F977" s="12" t="str">
        <f>IF(B977=0,"",COUNTIFS('Extração'!O:O,"Parcialmente",'Extração'!J:J,A977)/B977)</f>
        <v/>
      </c>
      <c r="G977" s="12" t="str">
        <f>IF(B977=0,"",COUNTIFS('Extração'!N:N,"Não",'Extração'!J:J,A977)/B977)</f>
        <v/>
      </c>
      <c r="H977" s="12" t="str">
        <f>IF(B977=0,"",COUNTIFS('Extração'!O:O,"Não",'Extração'!J:J,A977)/B977)</f>
        <v/>
      </c>
      <c r="I977" s="12" t="str">
        <f>IF(B977=0,"",COUNTIFS('Extração'!P:P,"Igual",'Extração'!J:J,A977)/B977)</f>
        <v/>
      </c>
    </row>
    <row r="978">
      <c r="B978" s="12">
        <f>COUNTIF('Extração'!J:J,A978)</f>
        <v>0</v>
      </c>
      <c r="C978" s="12" t="str">
        <f>IF(B978=0,"",COUNTIFS('Extração'!N:N,"Sim",'Extração'!J:J,A978)/B978)</f>
        <v/>
      </c>
      <c r="D978" s="12" t="str">
        <f>IF(B978=0,"",COUNTIFS('Extração'!O:O,"Sim",'Extração'!J:J,A978)/B978)</f>
        <v/>
      </c>
      <c r="E978" s="12" t="str">
        <f>IF(B978=0,"",COUNTIFS('Extração'!N:N,"Parcialmente",'Extração'!J:J,A978)/B978)</f>
        <v/>
      </c>
      <c r="F978" s="12" t="str">
        <f>IF(B978=0,"",COUNTIFS('Extração'!O:O,"Parcialmente",'Extração'!J:J,A978)/B978)</f>
        <v/>
      </c>
      <c r="G978" s="12" t="str">
        <f>IF(B978=0,"",COUNTIFS('Extração'!N:N,"Não",'Extração'!J:J,A978)/B978)</f>
        <v/>
      </c>
      <c r="H978" s="12" t="str">
        <f>IF(B978=0,"",COUNTIFS('Extração'!O:O,"Não",'Extração'!J:J,A978)/B978)</f>
        <v/>
      </c>
      <c r="I978" s="12" t="str">
        <f>IF(B978=0,"",COUNTIFS('Extração'!P:P,"Igual",'Extração'!J:J,A978)/B978)</f>
        <v/>
      </c>
    </row>
    <row r="979">
      <c r="B979" s="12">
        <f>COUNTIF('Extração'!J:J,A979)</f>
        <v>0</v>
      </c>
      <c r="C979" s="12" t="str">
        <f>IF(B979=0,"",COUNTIFS('Extração'!N:N,"Sim",'Extração'!J:J,A979)/B979)</f>
        <v/>
      </c>
      <c r="D979" s="12" t="str">
        <f>IF(B979=0,"",COUNTIFS('Extração'!O:O,"Sim",'Extração'!J:J,A979)/B979)</f>
        <v/>
      </c>
      <c r="E979" s="12" t="str">
        <f>IF(B979=0,"",COUNTIFS('Extração'!N:N,"Parcialmente",'Extração'!J:J,A979)/B979)</f>
        <v/>
      </c>
      <c r="F979" s="12" t="str">
        <f>IF(B979=0,"",COUNTIFS('Extração'!O:O,"Parcialmente",'Extração'!J:J,A979)/B979)</f>
        <v/>
      </c>
      <c r="G979" s="12" t="str">
        <f>IF(B979=0,"",COUNTIFS('Extração'!N:N,"Não",'Extração'!J:J,A979)/B979)</f>
        <v/>
      </c>
      <c r="H979" s="12" t="str">
        <f>IF(B979=0,"",COUNTIFS('Extração'!O:O,"Não",'Extração'!J:J,A979)/B979)</f>
        <v/>
      </c>
      <c r="I979" s="12" t="str">
        <f>IF(B979=0,"",COUNTIFS('Extração'!P:P,"Igual",'Extração'!J:J,A979)/B979)</f>
        <v/>
      </c>
    </row>
    <row r="980">
      <c r="B980" s="12">
        <f>COUNTIF('Extração'!J:J,A980)</f>
        <v>0</v>
      </c>
      <c r="C980" s="12" t="str">
        <f>IF(B980=0,"",COUNTIFS('Extração'!N:N,"Sim",'Extração'!J:J,A980)/B980)</f>
        <v/>
      </c>
      <c r="D980" s="12" t="str">
        <f>IF(B980=0,"",COUNTIFS('Extração'!O:O,"Sim",'Extração'!J:J,A980)/B980)</f>
        <v/>
      </c>
      <c r="E980" s="12" t="str">
        <f>IF(B980=0,"",COUNTIFS('Extração'!N:N,"Parcialmente",'Extração'!J:J,A980)/B980)</f>
        <v/>
      </c>
      <c r="F980" s="12" t="str">
        <f>IF(B980=0,"",COUNTIFS('Extração'!O:O,"Parcialmente",'Extração'!J:J,A980)/B980)</f>
        <v/>
      </c>
      <c r="G980" s="12" t="str">
        <f>IF(B980=0,"",COUNTIFS('Extração'!N:N,"Não",'Extração'!J:J,A980)/B980)</f>
        <v/>
      </c>
      <c r="H980" s="12" t="str">
        <f>IF(B980=0,"",COUNTIFS('Extração'!O:O,"Não",'Extração'!J:J,A980)/B980)</f>
        <v/>
      </c>
      <c r="I980" s="12" t="str">
        <f>IF(B980=0,"",COUNTIFS('Extração'!P:P,"Igual",'Extração'!J:J,A980)/B980)</f>
        <v/>
      </c>
    </row>
    <row r="981">
      <c r="B981" s="12">
        <f>COUNTIF('Extração'!J:J,A981)</f>
        <v>0</v>
      </c>
      <c r="C981" s="12" t="str">
        <f>IF(B981=0,"",COUNTIFS('Extração'!N:N,"Sim",'Extração'!J:J,A981)/B981)</f>
        <v/>
      </c>
      <c r="D981" s="12" t="str">
        <f>IF(B981=0,"",COUNTIFS('Extração'!O:O,"Sim",'Extração'!J:J,A981)/B981)</f>
        <v/>
      </c>
      <c r="E981" s="12" t="str">
        <f>IF(B981=0,"",COUNTIFS('Extração'!N:N,"Parcialmente",'Extração'!J:J,A981)/B981)</f>
        <v/>
      </c>
      <c r="F981" s="12" t="str">
        <f>IF(B981=0,"",COUNTIFS('Extração'!O:O,"Parcialmente",'Extração'!J:J,A981)/B981)</f>
        <v/>
      </c>
      <c r="G981" s="12" t="str">
        <f>IF(B981=0,"",COUNTIFS('Extração'!N:N,"Não",'Extração'!J:J,A981)/B981)</f>
        <v/>
      </c>
      <c r="H981" s="12" t="str">
        <f>IF(B981=0,"",COUNTIFS('Extração'!O:O,"Não",'Extração'!J:J,A981)/B981)</f>
        <v/>
      </c>
      <c r="I981" s="12" t="str">
        <f>IF(B981=0,"",COUNTIFS('Extração'!P:P,"Igual",'Extração'!J:J,A981)/B981)</f>
        <v/>
      </c>
    </row>
    <row r="982">
      <c r="B982" s="12">
        <f>COUNTIF('Extração'!J:J,A982)</f>
        <v>0</v>
      </c>
      <c r="C982" s="12" t="str">
        <f>IF(B982=0,"",COUNTIFS('Extração'!N:N,"Sim",'Extração'!J:J,A982)/B982)</f>
        <v/>
      </c>
      <c r="D982" s="12" t="str">
        <f>IF(B982=0,"",COUNTIFS('Extração'!O:O,"Sim",'Extração'!J:J,A982)/B982)</f>
        <v/>
      </c>
      <c r="E982" s="12" t="str">
        <f>IF(B982=0,"",COUNTIFS('Extração'!N:N,"Parcialmente",'Extração'!J:J,A982)/B982)</f>
        <v/>
      </c>
      <c r="F982" s="12" t="str">
        <f>IF(B982=0,"",COUNTIFS('Extração'!O:O,"Parcialmente",'Extração'!J:J,A982)/B982)</f>
        <v/>
      </c>
      <c r="G982" s="12" t="str">
        <f>IF(B982=0,"",COUNTIFS('Extração'!N:N,"Não",'Extração'!J:J,A982)/B982)</f>
        <v/>
      </c>
      <c r="H982" s="12" t="str">
        <f>IF(B982=0,"",COUNTIFS('Extração'!O:O,"Não",'Extração'!J:J,A982)/B982)</f>
        <v/>
      </c>
      <c r="I982" s="12" t="str">
        <f>IF(B982=0,"",COUNTIFS('Extração'!P:P,"Igual",'Extração'!J:J,A982)/B982)</f>
        <v/>
      </c>
    </row>
    <row r="983">
      <c r="B983" s="12">
        <f>COUNTIF('Extração'!J:J,A983)</f>
        <v>0</v>
      </c>
      <c r="C983" s="12" t="str">
        <f>IF(B983=0,"",COUNTIFS('Extração'!N:N,"Sim",'Extração'!J:J,A983)/B983)</f>
        <v/>
      </c>
      <c r="D983" s="12" t="str">
        <f>IF(B983=0,"",COUNTIFS('Extração'!O:O,"Sim",'Extração'!J:J,A983)/B983)</f>
        <v/>
      </c>
      <c r="E983" s="12" t="str">
        <f>IF(B983=0,"",COUNTIFS('Extração'!N:N,"Parcialmente",'Extração'!J:J,A983)/B983)</f>
        <v/>
      </c>
      <c r="F983" s="12" t="str">
        <f>IF(B983=0,"",COUNTIFS('Extração'!O:O,"Parcialmente",'Extração'!J:J,A983)/B983)</f>
        <v/>
      </c>
      <c r="G983" s="12" t="str">
        <f>IF(B983=0,"",COUNTIFS('Extração'!N:N,"Não",'Extração'!J:J,A983)/B983)</f>
        <v/>
      </c>
      <c r="H983" s="12" t="str">
        <f>IF(B983=0,"",COUNTIFS('Extração'!O:O,"Não",'Extração'!J:J,A983)/B983)</f>
        <v/>
      </c>
      <c r="I983" s="12" t="str">
        <f>IF(B983=0,"",COUNTIFS('Extração'!P:P,"Igual",'Extração'!J:J,A983)/B983)</f>
        <v/>
      </c>
    </row>
    <row r="984">
      <c r="B984" s="12">
        <f>COUNTIF('Extração'!J:J,A984)</f>
        <v>0</v>
      </c>
      <c r="C984" s="12" t="str">
        <f>IF(B984=0,"",COUNTIFS('Extração'!N:N,"Sim",'Extração'!J:J,A984)/B984)</f>
        <v/>
      </c>
      <c r="D984" s="12" t="str">
        <f>IF(B984=0,"",COUNTIFS('Extração'!O:O,"Sim",'Extração'!J:J,A984)/B984)</f>
        <v/>
      </c>
      <c r="E984" s="12" t="str">
        <f>IF(B984=0,"",COUNTIFS('Extração'!N:N,"Parcialmente",'Extração'!J:J,A984)/B984)</f>
        <v/>
      </c>
      <c r="F984" s="12" t="str">
        <f>IF(B984=0,"",COUNTIFS('Extração'!O:O,"Parcialmente",'Extração'!J:J,A984)/B984)</f>
        <v/>
      </c>
      <c r="G984" s="12" t="str">
        <f>IF(B984=0,"",COUNTIFS('Extração'!N:N,"Não",'Extração'!J:J,A984)/B984)</f>
        <v/>
      </c>
      <c r="H984" s="12" t="str">
        <f>IF(B984=0,"",COUNTIFS('Extração'!O:O,"Não",'Extração'!J:J,A984)/B984)</f>
        <v/>
      </c>
      <c r="I984" s="12" t="str">
        <f>IF(B984=0,"",COUNTIFS('Extração'!P:P,"Igual",'Extração'!J:J,A984)/B984)</f>
        <v/>
      </c>
    </row>
    <row r="985">
      <c r="B985" s="12">
        <f>COUNTIF('Extração'!J:J,A985)</f>
        <v>0</v>
      </c>
      <c r="C985" s="12" t="str">
        <f>IF(B985=0,"",COUNTIFS('Extração'!N:N,"Sim",'Extração'!J:J,A985)/B985)</f>
        <v/>
      </c>
      <c r="D985" s="12" t="str">
        <f>IF(B985=0,"",COUNTIFS('Extração'!O:O,"Sim",'Extração'!J:J,A985)/B985)</f>
        <v/>
      </c>
      <c r="E985" s="12" t="str">
        <f>IF(B985=0,"",COUNTIFS('Extração'!N:N,"Parcialmente",'Extração'!J:J,A985)/B985)</f>
        <v/>
      </c>
      <c r="F985" s="12" t="str">
        <f>IF(B985=0,"",COUNTIFS('Extração'!O:O,"Parcialmente",'Extração'!J:J,A985)/B985)</f>
        <v/>
      </c>
      <c r="G985" s="12" t="str">
        <f>IF(B985=0,"",COUNTIFS('Extração'!N:N,"Não",'Extração'!J:J,A985)/B985)</f>
        <v/>
      </c>
      <c r="H985" s="12" t="str">
        <f>IF(B985=0,"",COUNTIFS('Extração'!O:O,"Não",'Extração'!J:J,A985)/B985)</f>
        <v/>
      </c>
      <c r="I985" s="12" t="str">
        <f>IF(B985=0,"",COUNTIFS('Extração'!P:P,"Igual",'Extração'!J:J,A985)/B985)</f>
        <v/>
      </c>
    </row>
    <row r="986">
      <c r="B986" s="12">
        <f>COUNTIF('Extração'!J:J,A986)</f>
        <v>0</v>
      </c>
      <c r="C986" s="12" t="str">
        <f>IF(B986=0,"",COUNTIFS('Extração'!N:N,"Sim",'Extração'!J:J,A986)/B986)</f>
        <v/>
      </c>
      <c r="D986" s="12" t="str">
        <f>IF(B986=0,"",COUNTIFS('Extração'!O:O,"Sim",'Extração'!J:J,A986)/B986)</f>
        <v/>
      </c>
      <c r="E986" s="12" t="str">
        <f>IF(B986=0,"",COUNTIFS('Extração'!N:N,"Parcialmente",'Extração'!J:J,A986)/B986)</f>
        <v/>
      </c>
      <c r="F986" s="12" t="str">
        <f>IF(B986=0,"",COUNTIFS('Extração'!O:O,"Parcialmente",'Extração'!J:J,A986)/B986)</f>
        <v/>
      </c>
      <c r="G986" s="12" t="str">
        <f>IF(B986=0,"",COUNTIFS('Extração'!N:N,"Não",'Extração'!J:J,A986)/B986)</f>
        <v/>
      </c>
      <c r="H986" s="12" t="str">
        <f>IF(B986=0,"",COUNTIFS('Extração'!O:O,"Não",'Extração'!J:J,A986)/B986)</f>
        <v/>
      </c>
      <c r="I986" s="12" t="str">
        <f>IF(B986=0,"",COUNTIFS('Extração'!P:P,"Igual",'Extração'!J:J,A986)/B986)</f>
        <v/>
      </c>
    </row>
    <row r="987">
      <c r="B987" s="12">
        <f>COUNTIF('Extração'!J:J,A987)</f>
        <v>0</v>
      </c>
      <c r="C987" s="12" t="str">
        <f>IF(B987=0,"",COUNTIFS('Extração'!N:N,"Sim",'Extração'!J:J,A987)/B987)</f>
        <v/>
      </c>
      <c r="D987" s="12" t="str">
        <f>IF(B987=0,"",COUNTIFS('Extração'!O:O,"Sim",'Extração'!J:J,A987)/B987)</f>
        <v/>
      </c>
      <c r="E987" s="12" t="str">
        <f>IF(B987=0,"",COUNTIFS('Extração'!N:N,"Parcialmente",'Extração'!J:J,A987)/B987)</f>
        <v/>
      </c>
      <c r="F987" s="12" t="str">
        <f>IF(B987=0,"",COUNTIFS('Extração'!O:O,"Parcialmente",'Extração'!J:J,A987)/B987)</f>
        <v/>
      </c>
      <c r="G987" s="12" t="str">
        <f>IF(B987=0,"",COUNTIFS('Extração'!N:N,"Não",'Extração'!J:J,A987)/B987)</f>
        <v/>
      </c>
      <c r="H987" s="12" t="str">
        <f>IF(B987=0,"",COUNTIFS('Extração'!O:O,"Não",'Extração'!J:J,A987)/B987)</f>
        <v/>
      </c>
      <c r="I987" s="12" t="str">
        <f>IF(B987=0,"",COUNTIFS('Extração'!P:P,"Igual",'Extração'!J:J,A987)/B987)</f>
        <v/>
      </c>
    </row>
    <row r="988">
      <c r="B988" s="12">
        <f>COUNTIF('Extração'!J:J,A988)</f>
        <v>0</v>
      </c>
      <c r="C988" s="12" t="str">
        <f>IF(B988=0,"",COUNTIFS('Extração'!N:N,"Sim",'Extração'!J:J,A988)/B988)</f>
        <v/>
      </c>
      <c r="D988" s="12" t="str">
        <f>IF(B988=0,"",COUNTIFS('Extração'!O:O,"Sim",'Extração'!J:J,A988)/B988)</f>
        <v/>
      </c>
      <c r="E988" s="12" t="str">
        <f>IF(B988=0,"",COUNTIFS('Extração'!N:N,"Parcialmente",'Extração'!J:J,A988)/B988)</f>
        <v/>
      </c>
      <c r="F988" s="12" t="str">
        <f>IF(B988=0,"",COUNTIFS('Extração'!O:O,"Parcialmente",'Extração'!J:J,A988)/B988)</f>
        <v/>
      </c>
      <c r="G988" s="12" t="str">
        <f>IF(B988=0,"",COUNTIFS('Extração'!N:N,"Não",'Extração'!J:J,A988)/B988)</f>
        <v/>
      </c>
      <c r="H988" s="12" t="str">
        <f>IF(B988=0,"",COUNTIFS('Extração'!O:O,"Não",'Extração'!J:J,A988)/B988)</f>
        <v/>
      </c>
      <c r="I988" s="12" t="str">
        <f>IF(B988=0,"",COUNTIFS('Extração'!P:P,"Igual",'Extração'!J:J,A988)/B988)</f>
        <v/>
      </c>
    </row>
    <row r="989">
      <c r="B989" s="12">
        <f>COUNTIF('Extração'!J:J,A989)</f>
        <v>0</v>
      </c>
      <c r="C989" s="12" t="str">
        <f>IF(B989=0,"",COUNTIFS('Extração'!N:N,"Sim",'Extração'!J:J,A989)/B989)</f>
        <v/>
      </c>
      <c r="D989" s="12" t="str">
        <f>IF(B989=0,"",COUNTIFS('Extração'!O:O,"Sim",'Extração'!J:J,A989)/B989)</f>
        <v/>
      </c>
      <c r="E989" s="12" t="str">
        <f>IF(B989=0,"",COUNTIFS('Extração'!N:N,"Parcialmente",'Extração'!J:J,A989)/B989)</f>
        <v/>
      </c>
      <c r="F989" s="12" t="str">
        <f>IF(B989=0,"",COUNTIFS('Extração'!O:O,"Parcialmente",'Extração'!J:J,A989)/B989)</f>
        <v/>
      </c>
      <c r="G989" s="12" t="str">
        <f>IF(B989=0,"",COUNTIFS('Extração'!N:N,"Não",'Extração'!J:J,A989)/B989)</f>
        <v/>
      </c>
      <c r="H989" s="12" t="str">
        <f>IF(B989=0,"",COUNTIFS('Extração'!O:O,"Não",'Extração'!J:J,A989)/B989)</f>
        <v/>
      </c>
      <c r="I989" s="12" t="str">
        <f>IF(B989=0,"",COUNTIFS('Extração'!P:P,"Igual",'Extração'!J:J,A989)/B989)</f>
        <v/>
      </c>
    </row>
    <row r="990">
      <c r="B990" s="12">
        <f>COUNTIF('Extração'!J:J,A990)</f>
        <v>0</v>
      </c>
      <c r="C990" s="12" t="str">
        <f>IF(B990=0,"",COUNTIFS('Extração'!N:N,"Sim",'Extração'!J:J,A990)/B990)</f>
        <v/>
      </c>
      <c r="D990" s="12" t="str">
        <f>IF(B990=0,"",COUNTIFS('Extração'!O:O,"Sim",'Extração'!J:J,A990)/B990)</f>
        <v/>
      </c>
      <c r="E990" s="12" t="str">
        <f>IF(B990=0,"",COUNTIFS('Extração'!N:N,"Parcialmente",'Extração'!J:J,A990)/B990)</f>
        <v/>
      </c>
      <c r="F990" s="12" t="str">
        <f>IF(B990=0,"",COUNTIFS('Extração'!O:O,"Parcialmente",'Extração'!J:J,A990)/B990)</f>
        <v/>
      </c>
      <c r="G990" s="12" t="str">
        <f>IF(B990=0,"",COUNTIFS('Extração'!N:N,"Não",'Extração'!J:J,A990)/B990)</f>
        <v/>
      </c>
      <c r="H990" s="12" t="str">
        <f>IF(B990=0,"",COUNTIFS('Extração'!O:O,"Não",'Extração'!J:J,A990)/B990)</f>
        <v/>
      </c>
      <c r="I990" s="12" t="str">
        <f>IF(B990=0,"",COUNTIFS('Extração'!P:P,"Igual",'Extração'!J:J,A990)/B990)</f>
        <v/>
      </c>
    </row>
    <row r="991">
      <c r="B991" s="12">
        <f>COUNTIF('Extração'!J:J,A991)</f>
        <v>0</v>
      </c>
      <c r="C991" s="12" t="str">
        <f>IF(B991=0,"",COUNTIFS('Extração'!N:N,"Sim",'Extração'!J:J,A991)/B991)</f>
        <v/>
      </c>
      <c r="D991" s="12" t="str">
        <f>IF(B991=0,"",COUNTIFS('Extração'!O:O,"Sim",'Extração'!J:J,A991)/B991)</f>
        <v/>
      </c>
      <c r="E991" s="12" t="str">
        <f>IF(B991=0,"",COUNTIFS('Extração'!N:N,"Parcialmente",'Extração'!J:J,A991)/B991)</f>
        <v/>
      </c>
      <c r="F991" s="12" t="str">
        <f>IF(B991=0,"",COUNTIFS('Extração'!O:O,"Parcialmente",'Extração'!J:J,A991)/B991)</f>
        <v/>
      </c>
      <c r="G991" s="12" t="str">
        <f>IF(B991=0,"",COUNTIFS('Extração'!N:N,"Não",'Extração'!J:J,A991)/B991)</f>
        <v/>
      </c>
      <c r="H991" s="12" t="str">
        <f>IF(B991=0,"",COUNTIFS('Extração'!O:O,"Não",'Extração'!J:J,A991)/B991)</f>
        <v/>
      </c>
      <c r="I991" s="12" t="str">
        <f>IF(B991=0,"",COUNTIFS('Extração'!P:P,"Igual",'Extração'!J:J,A991)/B991)</f>
        <v/>
      </c>
    </row>
    <row r="992">
      <c r="B992" s="12">
        <f>COUNTIF('Extração'!J:J,A992)</f>
        <v>0</v>
      </c>
      <c r="C992" s="12" t="str">
        <f>IF(B992=0,"",COUNTIFS('Extração'!N:N,"Sim",'Extração'!J:J,A992)/B992)</f>
        <v/>
      </c>
      <c r="D992" s="12" t="str">
        <f>IF(B992=0,"",COUNTIFS('Extração'!O:O,"Sim",'Extração'!J:J,A992)/B992)</f>
        <v/>
      </c>
      <c r="E992" s="12" t="str">
        <f>IF(B992=0,"",COUNTIFS('Extração'!N:N,"Parcialmente",'Extração'!J:J,A992)/B992)</f>
        <v/>
      </c>
      <c r="F992" s="12" t="str">
        <f>IF(B992=0,"",COUNTIFS('Extração'!O:O,"Parcialmente",'Extração'!J:J,A992)/B992)</f>
        <v/>
      </c>
      <c r="G992" s="12" t="str">
        <f>IF(B992=0,"",COUNTIFS('Extração'!N:N,"Não",'Extração'!J:J,A992)/B992)</f>
        <v/>
      </c>
      <c r="H992" s="12" t="str">
        <f>IF(B992=0,"",COUNTIFS('Extração'!O:O,"Não",'Extração'!J:J,A992)/B992)</f>
        <v/>
      </c>
      <c r="I992" s="12" t="str">
        <f>IF(B992=0,"",COUNTIFS('Extração'!P:P,"Igual",'Extração'!J:J,A992)/B992)</f>
        <v/>
      </c>
    </row>
    <row r="993">
      <c r="B993" s="12">
        <f>COUNTIF('Extração'!J:J,A993)</f>
        <v>0</v>
      </c>
      <c r="C993" s="12" t="str">
        <f>IF(B993=0,"",COUNTIFS('Extração'!N:N,"Sim",'Extração'!J:J,A993)/B993)</f>
        <v/>
      </c>
      <c r="D993" s="12" t="str">
        <f>IF(B993=0,"",COUNTIFS('Extração'!O:O,"Sim",'Extração'!J:J,A993)/B993)</f>
        <v/>
      </c>
      <c r="E993" s="12" t="str">
        <f>IF(B993=0,"",COUNTIFS('Extração'!N:N,"Parcialmente",'Extração'!J:J,A993)/B993)</f>
        <v/>
      </c>
      <c r="F993" s="12" t="str">
        <f>IF(B993=0,"",COUNTIFS('Extração'!O:O,"Parcialmente",'Extração'!J:J,A993)/B993)</f>
        <v/>
      </c>
      <c r="G993" s="12" t="str">
        <f>IF(B993=0,"",COUNTIFS('Extração'!N:N,"Não",'Extração'!J:J,A993)/B993)</f>
        <v/>
      </c>
      <c r="H993" s="12" t="str">
        <f>IF(B993=0,"",COUNTIFS('Extração'!O:O,"Não",'Extração'!J:J,A993)/B993)</f>
        <v/>
      </c>
      <c r="I993" s="12" t="str">
        <f>IF(B993=0,"",COUNTIFS('Extração'!P:P,"Igual",'Extração'!J:J,A993)/B993)</f>
        <v/>
      </c>
    </row>
    <row r="994">
      <c r="B994" s="12">
        <f>COUNTIF('Extração'!J:J,A994)</f>
        <v>0</v>
      </c>
      <c r="C994" s="12" t="str">
        <f>IF(B994=0,"",COUNTIFS('Extração'!N:N,"Sim",'Extração'!J:J,A994)/B994)</f>
        <v/>
      </c>
      <c r="D994" s="12" t="str">
        <f>IF(B994=0,"",COUNTIFS('Extração'!O:O,"Sim",'Extração'!J:J,A994)/B994)</f>
        <v/>
      </c>
      <c r="E994" s="12" t="str">
        <f>IF(B994=0,"",COUNTIFS('Extração'!N:N,"Parcialmente",'Extração'!J:J,A994)/B994)</f>
        <v/>
      </c>
      <c r="F994" s="12" t="str">
        <f>IF(B994=0,"",COUNTIFS('Extração'!O:O,"Parcialmente",'Extração'!J:J,A994)/B994)</f>
        <v/>
      </c>
      <c r="G994" s="12" t="str">
        <f>IF(B994=0,"",COUNTIFS('Extração'!N:N,"Não",'Extração'!J:J,A994)/B994)</f>
        <v/>
      </c>
      <c r="H994" s="12" t="str">
        <f>IF(B994=0,"",COUNTIFS('Extração'!O:O,"Não",'Extração'!J:J,A994)/B994)</f>
        <v/>
      </c>
      <c r="I994" s="12" t="str">
        <f>IF(B994=0,"",COUNTIFS('Extração'!P:P,"Igual",'Extração'!J:J,A994)/B994)</f>
        <v/>
      </c>
    </row>
    <row r="995">
      <c r="B995" s="12">
        <f>COUNTIF('Extração'!J:J,A995)</f>
        <v>0</v>
      </c>
      <c r="C995" s="12" t="str">
        <f>IF(B995=0,"",COUNTIFS('Extração'!N:N,"Sim",'Extração'!J:J,A995)/B995)</f>
        <v/>
      </c>
      <c r="D995" s="12" t="str">
        <f>IF(B995=0,"",COUNTIFS('Extração'!O:O,"Sim",'Extração'!J:J,A995)/B995)</f>
        <v/>
      </c>
      <c r="E995" s="12" t="str">
        <f>IF(B995=0,"",COUNTIFS('Extração'!N:N,"Parcialmente",'Extração'!J:J,A995)/B995)</f>
        <v/>
      </c>
      <c r="F995" s="12" t="str">
        <f>IF(B995=0,"",COUNTIFS('Extração'!O:O,"Parcialmente",'Extração'!J:J,A995)/B995)</f>
        <v/>
      </c>
      <c r="G995" s="12" t="str">
        <f>IF(B995=0,"",COUNTIFS('Extração'!N:N,"Não",'Extração'!J:J,A995)/B995)</f>
        <v/>
      </c>
      <c r="H995" s="12" t="str">
        <f>IF(B995=0,"",COUNTIFS('Extração'!O:O,"Não",'Extração'!J:J,A995)/B995)</f>
        <v/>
      </c>
      <c r="I995" s="12" t="str">
        <f>IF(B995=0,"",COUNTIFS('Extração'!P:P,"Igual",'Extração'!J:J,A995)/B995)</f>
        <v/>
      </c>
    </row>
    <row r="996">
      <c r="B996" s="12">
        <f>COUNTIF('Extração'!J:J,A996)</f>
        <v>0</v>
      </c>
      <c r="C996" s="12" t="str">
        <f>IF(B996=0,"",COUNTIFS('Extração'!N:N,"Sim",'Extração'!J:J,A996)/B996)</f>
        <v/>
      </c>
      <c r="D996" s="12" t="str">
        <f>IF(B996=0,"",COUNTIFS('Extração'!O:O,"Sim",'Extração'!J:J,A996)/B996)</f>
        <v/>
      </c>
      <c r="E996" s="12" t="str">
        <f>IF(B996=0,"",COUNTIFS('Extração'!N:N,"Parcialmente",'Extração'!J:J,A996)/B996)</f>
        <v/>
      </c>
      <c r="F996" s="12" t="str">
        <f>IF(B996=0,"",COUNTIFS('Extração'!O:O,"Parcialmente",'Extração'!J:J,A996)/B996)</f>
        <v/>
      </c>
      <c r="G996" s="12" t="str">
        <f>IF(B996=0,"",COUNTIFS('Extração'!N:N,"Não",'Extração'!J:J,A996)/B996)</f>
        <v/>
      </c>
      <c r="H996" s="12" t="str">
        <f>IF(B996=0,"",COUNTIFS('Extração'!O:O,"Não",'Extração'!J:J,A996)/B996)</f>
        <v/>
      </c>
      <c r="I996" s="12" t="str">
        <f>IF(B996=0,"",COUNTIFS('Extração'!P:P,"Igual",'Extração'!J:J,A996)/B996)</f>
        <v/>
      </c>
    </row>
    <row r="997">
      <c r="B997" s="12">
        <f>COUNTIF('Extração'!J:J,A997)</f>
        <v>0</v>
      </c>
      <c r="C997" s="12" t="str">
        <f>IF(B997=0,"",COUNTIFS('Extração'!N:N,"Sim",'Extração'!J:J,A997)/B997)</f>
        <v/>
      </c>
      <c r="D997" s="12" t="str">
        <f>IF(B997=0,"",COUNTIFS('Extração'!O:O,"Sim",'Extração'!J:J,A997)/B997)</f>
        <v/>
      </c>
      <c r="E997" s="12" t="str">
        <f>IF(B997=0,"",COUNTIFS('Extração'!N:N,"Parcialmente",'Extração'!J:J,A997)/B997)</f>
        <v/>
      </c>
      <c r="F997" s="12" t="str">
        <f>IF(B997=0,"",COUNTIFS('Extração'!O:O,"Parcialmente",'Extração'!J:J,A997)/B997)</f>
        <v/>
      </c>
      <c r="G997" s="12" t="str">
        <f>IF(B997=0,"",COUNTIFS('Extração'!N:N,"Não",'Extração'!J:J,A997)/B997)</f>
        <v/>
      </c>
      <c r="H997" s="12" t="str">
        <f>IF(B997=0,"",COUNTIFS('Extração'!O:O,"Não",'Extração'!J:J,A997)/B997)</f>
        <v/>
      </c>
      <c r="I997" s="12" t="str">
        <f>IF(B997=0,"",COUNTIFS('Extração'!P:P,"Igual",'Extração'!J:J,A997)/B997)</f>
        <v/>
      </c>
    </row>
    <row r="998">
      <c r="B998" s="12">
        <f>COUNTIF('Extração'!J:J,A998)</f>
        <v>0</v>
      </c>
      <c r="C998" s="12" t="str">
        <f>IF(B998=0,"",COUNTIFS('Extração'!N:N,"Sim",'Extração'!J:J,A998)/B998)</f>
        <v/>
      </c>
      <c r="D998" s="12" t="str">
        <f>IF(B998=0,"",COUNTIFS('Extração'!O:O,"Sim",'Extração'!J:J,A998)/B998)</f>
        <v/>
      </c>
      <c r="E998" s="12" t="str">
        <f>IF(B998=0,"",COUNTIFS('Extração'!N:N,"Parcialmente",'Extração'!J:J,A998)/B998)</f>
        <v/>
      </c>
      <c r="F998" s="12" t="str">
        <f>IF(B998=0,"",COUNTIFS('Extração'!O:O,"Parcialmente",'Extração'!J:J,A998)/B998)</f>
        <v/>
      </c>
      <c r="G998" s="12" t="str">
        <f>IF(B998=0,"",COUNTIFS('Extração'!N:N,"Não",'Extração'!J:J,A998)/B998)</f>
        <v/>
      </c>
      <c r="H998" s="12" t="str">
        <f>IF(B998=0,"",COUNTIFS('Extração'!O:O,"Não",'Extração'!J:J,A998)/B998)</f>
        <v/>
      </c>
      <c r="I998" s="12" t="str">
        <f>IF(B998=0,"",COUNTIFS('Extração'!P:P,"Igual",'Extração'!J:J,A998)/B998)</f>
        <v/>
      </c>
    </row>
    <row r="999">
      <c r="B999" s="12">
        <f>COUNTIF('Extração'!J:J,A999)</f>
        <v>0</v>
      </c>
      <c r="C999" s="12" t="str">
        <f>IF(B999=0,"",COUNTIFS('Extração'!N:N,"Sim",'Extração'!J:J,A999)/B999)</f>
        <v/>
      </c>
      <c r="D999" s="12" t="str">
        <f>IF(B999=0,"",COUNTIFS('Extração'!O:O,"Sim",'Extração'!J:J,A999)/B999)</f>
        <v/>
      </c>
      <c r="E999" s="12" t="str">
        <f>IF(B999=0,"",COUNTIFS('Extração'!N:N,"Parcialmente",'Extração'!J:J,A999)/B999)</f>
        <v/>
      </c>
      <c r="F999" s="12" t="str">
        <f>IF(B999=0,"",COUNTIFS('Extração'!O:O,"Parcialmente",'Extração'!J:J,A999)/B999)</f>
        <v/>
      </c>
      <c r="G999" s="12" t="str">
        <f>IF(B999=0,"",COUNTIFS('Extração'!N:N,"Não",'Extração'!J:J,A999)/B999)</f>
        <v/>
      </c>
      <c r="H999" s="12" t="str">
        <f>IF(B999=0,"",COUNTIFS('Extração'!O:O,"Não",'Extração'!J:J,A999)/B999)</f>
        <v/>
      </c>
      <c r="I999" s="12" t="str">
        <f>IF(B999=0,"",COUNTIFS('Extração'!P:P,"Igual",'Extração'!J:J,A999)/B999)</f>
        <v/>
      </c>
    </row>
    <row r="1000">
      <c r="B1000" s="12">
        <f>COUNTIF('Extração'!J:J,A1000)</f>
        <v>0</v>
      </c>
      <c r="C1000" s="12" t="str">
        <f>IF(B1000=0,"",COUNTIFS('Extração'!N:N,"Sim",'Extração'!J:J,A1000)/B1000)</f>
        <v/>
      </c>
      <c r="D1000" s="12" t="str">
        <f>IF(B1000=0,"",COUNTIFS('Extração'!O:O,"Sim",'Extração'!J:J,A1000)/B1000)</f>
        <v/>
      </c>
      <c r="E1000" s="12" t="str">
        <f>IF(B1000=0,"",COUNTIFS('Extração'!N:N,"Parcialmente",'Extração'!J:J,A1000)/B1000)</f>
        <v/>
      </c>
      <c r="F1000" s="12" t="str">
        <f>IF(B1000=0,"",COUNTIFS('Extração'!O:O,"Parcialmente",'Extração'!J:J,A1000)/B1000)</f>
        <v/>
      </c>
      <c r="G1000" s="12" t="str">
        <f>IF(B1000=0,"",COUNTIFS('Extração'!N:N,"Não",'Extração'!J:J,A1000)/B1000)</f>
        <v/>
      </c>
      <c r="H1000" s="12" t="str">
        <f>IF(B1000=0,"",COUNTIFS('Extração'!O:O,"Não",'Extração'!J:J,A1000)/B1000)</f>
        <v/>
      </c>
      <c r="I1000" s="12" t="str">
        <f>IF(B1000=0,"",COUNTIFS('Extração'!P:P,"Igual",'Extração'!J:J,A1000)/B1000)</f>
        <v/>
      </c>
    </row>
  </sheetData>
  <conditionalFormatting sqref="C2:C1000">
    <cfRule type="cellIs" dxfId="3" priority="1" operator="greaterThanOrEqual">
      <formula>0.5</formula>
    </cfRule>
  </conditionalFormatting>
  <conditionalFormatting sqref="C2:C1000">
    <cfRule type="cellIs" dxfId="4" priority="2" operator="lessThan">
      <formula>0.5</formula>
    </cfRule>
  </conditionalFormatting>
  <conditionalFormatting sqref="D2:D1000">
    <cfRule type="cellIs" dxfId="3" priority="3" operator="greaterThanOrEqual">
      <formula>0.5</formula>
    </cfRule>
  </conditionalFormatting>
  <conditionalFormatting sqref="D2:D1000">
    <cfRule type="cellIs" dxfId="4" priority="4" operator="lessThan">
      <formula>0.5</formula>
    </cfRule>
  </conditionalFormatting>
  <conditionalFormatting sqref="E2:E1000">
    <cfRule type="cellIs" dxfId="3" priority="5" operator="greaterThanOrEqual">
      <formula>0.5</formula>
    </cfRule>
  </conditionalFormatting>
  <conditionalFormatting sqref="E2:E1000">
    <cfRule type="cellIs" dxfId="4" priority="6" operator="lessThan">
      <formula>0.5</formula>
    </cfRule>
  </conditionalFormatting>
  <conditionalFormatting sqref="F2:F1000">
    <cfRule type="cellIs" dxfId="3" priority="7" operator="greaterThanOrEqual">
      <formula>0.5</formula>
    </cfRule>
  </conditionalFormatting>
  <conditionalFormatting sqref="F2:F1000">
    <cfRule type="cellIs" dxfId="4" priority="8" operator="lessThan">
      <formula>0.5</formula>
    </cfRule>
  </conditionalFormatting>
  <conditionalFormatting sqref="G2:G1000">
    <cfRule type="cellIs" dxfId="3" priority="9" operator="greaterThanOrEqual">
      <formula>0.5</formula>
    </cfRule>
  </conditionalFormatting>
  <conditionalFormatting sqref="G2:G1000">
    <cfRule type="cellIs" dxfId="4" priority="10" operator="lessThan">
      <formula>0.5</formula>
    </cfRule>
  </conditionalFormatting>
  <conditionalFormatting sqref="H2:H1000">
    <cfRule type="cellIs" dxfId="3" priority="11" operator="greaterThanOrEqual">
      <formula>0.5</formula>
    </cfRule>
  </conditionalFormatting>
  <conditionalFormatting sqref="H2:H1000">
    <cfRule type="cellIs" dxfId="4" priority="12" operator="lessThan">
      <formula>0.5</formula>
    </cfRule>
  </conditionalFormatting>
  <conditionalFormatting sqref="I2:I1000">
    <cfRule type="cellIs" dxfId="3" priority="13" operator="greaterThanOrEqual">
      <formula>0.5</formula>
    </cfRule>
  </conditionalFormatting>
  <conditionalFormatting sqref="I2:I1000">
    <cfRule type="cellIs" dxfId="4" priority="14" operator="lessThan">
      <formula>0.5</formula>
    </cfRule>
  </conditionalFormatting>
  <drawing r:id="rId1"/>
</worksheet>
</file>