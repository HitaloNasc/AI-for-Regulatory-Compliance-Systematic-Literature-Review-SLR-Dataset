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RSL" sheetId="1" r:id="rId4"/>
    <sheet state="visible" name="Testes com strings de busca" sheetId="2" r:id="rId5"/>
    <sheet state="hidden" name="Página28" sheetId="3" r:id="rId6"/>
  </sheets>
  <definedNames/>
  <calcPr/>
</workbook>
</file>

<file path=xl/sharedStrings.xml><?xml version="1.0" encoding="utf-8"?>
<sst xmlns="http://schemas.openxmlformats.org/spreadsheetml/2006/main" count="60" uniqueCount="56">
  <si>
    <t>TENDÊNCIAS E DESAFIOS EM SI - ESTRUTURAÇÃO DA INVESTIGAÇÃO SISTEMÁTICA</t>
  </si>
  <si>
    <t>//</t>
  </si>
  <si>
    <t>Parte 2: Protocolo de Pesquisa</t>
  </si>
  <si>
    <t>Palavras-chave:</t>
  </si>
  <si>
    <t>AI
Privacy
Compliance
Information Systems</t>
  </si>
  <si>
    <t>Sinônimos por palavras-chave:</t>
  </si>
  <si>
    <t>Identificar os sinônimos de cada palavra-chave.
AI: Artificial Intelligence; Machine learning; Natural language processing
Privacy: Confidentiality, Secrecy; Protection
Compliance: Accountability; Accordance; Integrity
Information Systems: IT; Software; Systems</t>
  </si>
  <si>
    <t>String de busca:</t>
  </si>
  <si>
    <t>("Artificial Intelligence" OR "Machine learning" OR "Natural language processing" OR "LLM") AND (Privacy OR "GDPR" OR "LGPD" OR "ISO 27701") AND (Compliance OR Protection OR Accountability) AND ("Information Systems" OR "Software development")</t>
  </si>
  <si>
    <t>("artificial intelligence" OR "machine learning") 
AND ("regulatory compliance" OR accountability) 
AND ("information systems" OR software) 
AND ("GDPR" OR "LGPD" OR "privacy")</t>
  </si>
  <si>
    <t>Fontes de pesquisa usadas:</t>
  </si>
  <si>
    <t>ACM, IEEE, Scopus, SOL, Springer, Science Direct</t>
  </si>
  <si>
    <t>Executar a string de busca nas bases:</t>
  </si>
  <si>
    <t>Usar ferramentas de busca automáticas, considerando o período de 2020 a 2025, planilhando os resultados.</t>
  </si>
  <si>
    <t>Primeiros números por fonte de pesquisa:</t>
  </si>
  <si>
    <t xml:space="preserve">Para cada base (ou conferência), listar o número de artigos encontrados.
</t>
  </si>
  <si>
    <t>ACM</t>
  </si>
  <si>
    <t>link acm</t>
  </si>
  <si>
    <t>IEEE</t>
  </si>
  <si>
    <t>link ieee</t>
  </si>
  <si>
    <t>Scopus</t>
  </si>
  <si>
    <t>link scopus</t>
  </si>
  <si>
    <t>Sol</t>
  </si>
  <si>
    <t>link</t>
  </si>
  <si>
    <t>Science Direct</t>
  </si>
  <si>
    <t>link science direct</t>
  </si>
  <si>
    <t>Total de Artigos</t>
  </si>
  <si>
    <t>Critérios de inclusão:</t>
  </si>
  <si>
    <t>1- Tema: O estudo deve abordar a interseção entre IA, Privacidade, Compliance e Sistemas de Informação.
2- Tipo: Apenas artigos científicos revisados por pares (de periódicos ou conferências).
3- Idioma: O artigo deve estar escrito em português ou inglês.
4- Período: Apenas estudos publicados a partir de janeiro de 2020.
5- Acesso: O texto completo do artigo deve estar acessível para análise.</t>
  </si>
  <si>
    <t>numerar os criterios, tirar portugues, ajustar string</t>
  </si>
  <si>
    <t>Critérios de exclusão:</t>
  </si>
  <si>
    <t>1- Escopo: Artigos que mencionam os temas de forma superficial ou não conectam os quatro pilares.
2- Tipo: Excluir literatura cinzenta, editoriais, resenhas, resumos e patentes.
3- Idioma: Artigos em qualquer idioma que não seja português ou inglês.
4- Período: Estudos publicados antes de janeiro de 2020.
5- Acesso: Artigos sem acesso ao texto completo ou que sejam publicações duplicadas.</t>
  </si>
  <si>
    <t>RESULTADO ESPERADO PARTE 2:</t>
  </si>
  <si>
    <t xml:space="preserve">String de busca definida e aplicada nas bases de pesquisa. Se os resultados encontrados estão relacionados com o tema, exportar os resultados para uma planilha para que os filtros da Parte 3 possam ser aplicados. </t>
  </si>
  <si>
    <t>/</t>
  </si>
  <si>
    <t>-</t>
  </si>
  <si>
    <t>GDPR</t>
  </si>
  <si>
    <t>LGPD</t>
  </si>
  <si>
    <t>GDPR OR LGPD</t>
  </si>
  <si>
    <t xml:space="preserve">("Artificial Intelligence" OR "Machine learning" OR "Natural language processing")
AND (Privacy OR Confidentiality OR Secrecy OR Protection)
AND (Compliance OR Accountability OR Accordance OR Integrity)
AND ("Information Systems" OR "Information Technology" OR Software OR Systems)
AND ("organizational context" OR "business processes" OR "compliance frameworks" OR "GDPR" OR "ISO 27001" OR "LGPD")
</t>
  </si>
  <si>
    <t>("artificial intelligence" OR "machine learning") 
AND (compliance OR accountability) 
AND ("information systems" OR software) 
AND ("organizational context" OR "GDPR")</t>
  </si>
  <si>
    <t>("artificial intelligence" OR "machine learning") 
AND (compliance OR accountability) 
AND ("information systems" OR software) 
AND ("organizational context" OR "LGPD")</t>
  </si>
  <si>
    <t>("artificial intelligence" OR "machine learning") 
AND (compliance OR accountability) 
AND ("information systems" OR software) 
AND ("GDPR" OR "LGPD")</t>
  </si>
  <si>
    <t>https://dl.acm.org/action/doSearch?fillQuickSearch=false&amp;target=advanced&amp;expand=dl&amp;AfterYear=2020&amp;BeforeYear=2025&amp;AllField=AllField%3A%28%28%22Artificial+Intelligence%22+OR+%22Machine+learning%22+OR+%22Natural+language+processing%22%29%29+AND+AllField%3A%28%28Privacy+OR+Confidentiality+OR+Secrecy+OR+Protection%29%29+AND+AllField%3A%28%28Compliance+OR+Accountability+OR+Accordance+OR+Integrity%29%29+AND+AllField%3A%28%28%22Information+Systems%22+OR+%22Information+Technology%22+OR+Software+OR+Systems%29%29+AND+AllField%3A%28%28%22organizational+context%22+OR+%22business+processes%22+OR+%22compliance+frameworks%22+OR+%22GDPR%22+OR+%22ISO+27001%22+OR+%22LGPD%22%29%29</t>
  </si>
  <si>
    <t>https://dl.acm.org/action/doSearch?fillQuickSearch=false&amp;target=advanced&amp;expand=dl&amp;AfterYear=2020&amp;BeforeYear=2025&amp;AllField=AllField%3A%28%28%22artificial+intelligence%22+OR+%22machine+learning%22%29%29+AND+AllField%3A%28%28compliance+OR+accountability%29%29+AND+AllField%3A%28%28%22information+systems%22+OR+software%29%29+AND+AllField%3A%28%28%22organizational+context%22+OR+%22GDPR%22%29%29</t>
  </si>
  <si>
    <t>https://dl.acm.org/action/doSearch?fillQuickSearch=false&amp;target=advanced&amp;expand=dl&amp;AfterYear=2020&amp;BeforeYear=2025&amp;AllField=AllField%3A%28%28%22artificial+intelligence%22+OR+%22machine+learning%22%29%29+AND+AllField%3A%28%28compliance+OR+accountability%29%29+AND+AllField%3A%28%28%22information+systems%22+OR+software%29%29+AND+AllField%3A%28%28%22organizational+context%22+OR+%22LGPD%22%29%29</t>
  </si>
  <si>
    <t>https://dl.acm.org/action/doSearch?fillQuickSearch=false&amp;target=advanced&amp;expand=dl&amp;AfterYear=2020&amp;BeforeYear=2025&amp;AllField=AllField%3A%28%28%22artificial+intelligence%22+OR+%22machine+learning%22%29%29+AND+AllField%3A%28%28compliance+OR+accountability%29%29+AND+AllField%3A%28%28%22information+systems%22+OR+software%29%29+AND+AllField%3A%28%28%22GDPR%22+OR+%22LGPD%22%29%29</t>
  </si>
  <si>
    <t>off</t>
  </si>
  <si>
    <t>https://www.scopus.com/results/results.uri?st1=%28%22Artificial+Intelligence%22+OR+%22Machine+learning%22+OR+%22Natural+language+processing%22%29+AND+%28Privacy+OR+Confidentiality+OR+Secrecy+OR+Protection%29+AND+%28Compliance+OR+Accountability+OR+Accordance+OR+Integrity%29+AND+%28%22Information+Systems%22+OR+%22Information+Technology%22+OR+Software+OR+Systems%29+AND+%28%22organizational+context%22+OR+%22business+processes%22+OR+%22compliance+frameworks%22+OR+%22GDPR%22+OR+%22ISO+27001%22+OR+%22LGPD%22%29&amp;st2=&amp;s=TITLE-ABS-KEY%28%28%22Artificial+Intelligence%22+OR+%22Machine+learning%22+OR+%22Natural+language+processing%22%29+AND+%28Privacy+OR+Confidentiality+OR+Secrecy+OR+Protection%29+AND+%28Compliance+OR+Accountability+OR+Accordance+OR+Integrity%29+AND+%28%22Information+Systems%22+OR+%22Information+Technology%22+OR+Software+OR+Systems%29+AND+%28%22organizational+context%22+OR+%22business+processes%22+OR+%22compliance+frameworks%22+OR+%22GDPR%22+OR+%22ISO+27001%22+OR+%22LGPD%22%29%29&amp;limit=10&amp;origin=searchbasic&amp;sort=plf-f&amp;src=s&amp;sot=b&amp;sdt=b&amp;sessionSearchId=39bd614698268cdafece87c9dc4e5583</t>
  </si>
  <si>
    <t>https://www.scopus.com/results/results.uri?st1=%28%22artificial+intelligence%22+OR+%22machine+learning%22%29+AND+%28compliance+OR+accountability%29+AND+%28%22information+systems%22+OR+software%29+AND+%28%22organizational+context%22+OR+%22GDPR%22%29&amp;st2=&amp;s=TITLE-ABS-KEY%28%28%22artificial+intelligence%22+OR+%22machine+learning%22%29+AND+%28compliance+OR+accountability%29+AND+%28%22information+systems%22+OR+software%29+AND+%28%22organizational+context%22+OR+%22GDPR%22%29%29&amp;limit=10&amp;origin=searchbasic&amp;sort=plf-f&amp;src=s&amp;sot=b&amp;sdt=b&amp;sessionSearchId=35fbcfc0b5d73a8cf35169b80e6f2494</t>
  </si>
  <si>
    <t>https://www.scopus.com/results/results.uri?st1=%28%22artificial+intelligence%22+OR+%22machine+learning%22%29++AND+%28compliance+OR+accountability%29++AND+%28%22information+systems%22+OR+software%29++AND+%28%22organizational+context%22+OR+%22LGPD%22%29&amp;st2=&amp;s=TITLE-ABS-KEY%28%28%22artificial+intelligence%22+OR+%22machine+learning%22%29++AND+%28compliance+OR+accountability%29++AND+%28%22information+systems%22+OR+software%29++AND+%28%22organizational+context%22+OR+%22LGPD%22%29%29&amp;limit=10&amp;origin=searchbasic&amp;sort=plf-f&amp;src=s&amp;sot=b&amp;sdt=b&amp;sessionSearchId=524b6be3182e702ee59269bf9e64af1c</t>
  </si>
  <si>
    <t>https://www.scopus.com/results/results.uri?st1=%28%22artificial+intelligence%22+OR+%22machine+learning%22%29++AND+%28compliance+OR+accountability%29++AND+%28%22information+systems%22+OR+software%29++AND+%28%22GDPR%22+OR+%22LGPD%22%29&amp;st2=&amp;s=TITLE-ABS-KEY%28%28%22artificial+intelligence%22+OR+%22machine+learning%22%29++AND+%28compliance+OR+accountability%29++AND+%28%22information+systems%22+OR+software%29++AND+%28%22GDPR%22+OR+%22LGPD%22%29%29&amp;limit=10&amp;origin=searchbasic&amp;sort=plf-f&amp;src=s&amp;sot=b&amp;sdt=b&amp;sessionSearchId=b52b640c2cd94c16033781399c6d3533</t>
  </si>
  <si>
    <t>not-support</t>
  </si>
  <si>
    <t>https://www.sciencedirect.com/search?qs=%28%22artificial+intelligence%22+OR+%22machine+learning%22%29+AND+%28compliance+OR+accountability%29+AND+%28%22information+systems%22+OR+software%29+AND+%28%22organizational+context%22+OR+%22GDPR%22%29</t>
  </si>
  <si>
    <t>https://www.sciencedirect.com/search?qs=%28%22artificial+intelligence%22+OR+%22machine+learning%22%29+AND+%28compliance+OR+accountability%29+AND+%28%22information+systems%22+OR+software%29+AND+%28%22organizational+context%22+OR+%22LGPD%22%29</t>
  </si>
  <si>
    <t>https://www.sciencedirect.com/search?qs=%28%22artificial+intelligence%22+OR+%22machine+learning%22%29++AND+%28compliance+OR+accountability%29++AND+%28%22information+systems%22+OR+software%29++AND+%28%22GDPR%22+OR+%22LGPD%22%29</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</si>
</sst>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font>
    <font>
      <color theme="1"/>
      <name val="Arial"/>
    </font>
    <font>
      <b/>
      <sz val="12.0"/>
      <color theme="1"/>
      <name val="Arial"/>
    </font>
    <font>
      <i/>
      <color rgb="FF0000FF"/>
      <name val="Arial"/>
    </font>
    <font>
      <b/>
      <color rgb="FF0000FF"/>
      <name val="Arial"/>
    </font>
    <font>
      <i/>
      <u/>
      <color rgb="FF0000FF"/>
      <name val="Arial"/>
    </font>
    <font>
      <color theme="1"/>
      <name val="Arial"/>
      <scheme val="minor"/>
    </font>
    <font>
      <b/>
      <color theme="1"/>
      <name val="Arial"/>
      <scheme val="minor"/>
    </font>
    <font>
      <u/>
      <color rgb="FF0000FF"/>
    </font>
    <font>
      <u/>
      <color rgb="FF0000FF"/>
    </font>
    <font>
      <u/>
      <color rgb="FF0000FF"/>
    </font>
    <font>
      <u/>
      <color rgb="FF0000FF"/>
    </font>
  </fonts>
  <fills count="6">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CFE2F3"/>
        <bgColor rgb="FFCFE2F3"/>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center"/>
    </xf>
    <xf borderId="0" fillId="3" fontId="1" numFmtId="0" xfId="0" applyAlignment="1" applyFill="1" applyFont="1">
      <alignment horizontal="left"/>
    </xf>
    <xf borderId="0" fillId="3" fontId="2" numFmtId="0" xfId="0" applyFont="1"/>
    <xf borderId="0" fillId="0" fontId="3" numFmtId="0" xfId="0" applyFont="1"/>
    <xf borderId="0" fillId="0" fontId="2" numFmtId="0" xfId="0" applyAlignment="1" applyFont="1">
      <alignment shrinkToFit="0" wrapText="1"/>
    </xf>
    <xf borderId="0" fillId="4" fontId="2" numFmtId="0" xfId="0" applyFill="1" applyFont="1"/>
    <xf borderId="0" fillId="0" fontId="1" numFmtId="0" xfId="0" applyFont="1"/>
    <xf borderId="0" fillId="0" fontId="4" numFmtId="0" xfId="0" applyAlignment="1" applyFont="1">
      <alignment readingOrder="0" shrinkToFit="0" wrapText="1"/>
    </xf>
    <xf borderId="0" fillId="3" fontId="4" numFmtId="0" xfId="0" applyAlignment="1" applyFont="1">
      <alignment readingOrder="0" shrinkToFit="0" wrapText="1"/>
    </xf>
    <xf borderId="0" fillId="3" fontId="5" numFmtId="0" xfId="0" applyAlignment="1" applyFont="1">
      <alignment horizontal="right"/>
    </xf>
    <xf borderId="0" fillId="3" fontId="4" numFmtId="0" xfId="0" applyAlignment="1" applyFont="1">
      <alignment shrinkToFit="0" wrapText="1"/>
    </xf>
    <xf borderId="0" fillId="0" fontId="4" numFmtId="3" xfId="0" applyAlignment="1" applyFont="1" applyNumberFormat="1">
      <alignment readingOrder="0" shrinkToFit="0" wrapText="1"/>
    </xf>
    <xf borderId="0" fillId="0" fontId="6" numFmtId="0" xfId="0" applyAlignment="1" applyFont="1">
      <alignment readingOrder="0" shrinkToFit="0" wrapText="1"/>
    </xf>
    <xf borderId="0" fillId="0" fontId="1" numFmtId="0" xfId="0" applyAlignment="1" applyFont="1">
      <alignment readingOrder="0"/>
    </xf>
    <xf borderId="0" fillId="0" fontId="4" numFmtId="0" xfId="0" applyAlignment="1" applyFont="1">
      <alignment readingOrder="0" shrinkToFit="0" vertical="bottom" wrapText="1"/>
    </xf>
    <xf borderId="0" fillId="4" fontId="2" numFmtId="0" xfId="0" applyAlignment="1" applyFont="1">
      <alignment readingOrder="0"/>
    </xf>
    <xf borderId="0" fillId="5" fontId="1" numFmtId="0" xfId="0" applyAlignment="1" applyFill="1" applyFont="1">
      <alignment horizontal="right" vertical="center"/>
    </xf>
    <xf borderId="0" fillId="5" fontId="1" numFmtId="0" xfId="0" applyAlignment="1" applyFont="1">
      <alignment horizontal="left" shrinkToFit="0" wrapText="1"/>
    </xf>
    <xf borderId="0" fillId="0" fontId="2" numFmtId="0" xfId="0" applyFont="1"/>
    <xf borderId="0" fillId="0" fontId="7" numFmtId="0" xfId="0" applyAlignment="1" applyFont="1">
      <alignment readingOrder="0"/>
    </xf>
    <xf borderId="0" fillId="0" fontId="8" numFmtId="0" xfId="0" applyAlignment="1" applyFont="1">
      <alignment readingOrder="0"/>
    </xf>
    <xf borderId="0" fillId="0" fontId="7" numFmtId="0" xfId="0" applyAlignment="1" applyFont="1">
      <alignment readingOrder="0" shrinkToFit="0" vertical="top" wrapText="0"/>
    </xf>
    <xf borderId="0" fillId="0" fontId="7" numFmtId="0" xfId="0" applyAlignment="1" applyFont="1">
      <alignment shrinkToFit="0" vertical="top" wrapText="0"/>
    </xf>
    <xf borderId="0" fillId="0" fontId="9" numFmtId="0" xfId="0" applyAlignment="1" applyFont="1">
      <alignment readingOrder="0" shrinkToFit="0" vertical="top" wrapText="0"/>
    </xf>
    <xf borderId="0" fillId="0" fontId="7" numFmtId="0" xfId="0" applyAlignment="1" applyFont="1">
      <alignment readingOrder="0" vertical="top"/>
    </xf>
    <xf borderId="0" fillId="0" fontId="10" numFmtId="0" xfId="0" applyAlignment="1" applyFont="1">
      <alignment readingOrder="0" shrinkToFit="0" vertical="top" wrapText="0"/>
    </xf>
    <xf borderId="0" fillId="0" fontId="11" numFmtId="0" xfId="0" applyAlignment="1" applyFont="1">
      <alignment readingOrder="0" shrinkToFit="0" wrapText="0"/>
    </xf>
    <xf borderId="0" fillId="0" fontId="12" numFmtId="0" xfId="0" applyAlignment="1" applyFont="1">
      <alignment readingOrder="0" shrinkToFit="0" wrapText="0"/>
    </xf>
    <xf borderId="0" fillId="0" fontId="7" numFmtId="0" xfId="0" applyAlignment="1" applyFont="1">
      <alignment readingOrder="0" shrinkToFit="0" wrapText="0"/>
    </xf>
    <xf borderId="0" fillId="0" fontId="7" numFmtId="0" xfId="0" applyAlignment="1" applyFont="1">
      <alignment shrinkToFit="0" vertical="top" wrapText="0"/>
    </xf>
    <xf borderId="0" fillId="0" fontId="7" numFmtId="0" xfId="0" applyAlignment="1" applyFont="1">
      <alignment vertical="top"/>
    </xf>
    <xf borderId="0" fillId="0" fontId="7" numFmtId="0" xfId="0" applyAlignment="1" applyFont="1">
      <alignment shrinkToFit="0" wrapText="0"/>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l.acm.org/action/doSearch?fillQuickSearch=false&amp;target=advanced&amp;expand=dl&amp;AfterYear=2020&amp;BeforeYear=2025&amp;AllField=Abstract%3A%28%28%22artificial+intelligence%22+OR+%22machine+learning%22+OR+%22Natural+language+processing%22+OR+%22LLM%22%29%29+AND+Abstract%3A%28%28Compliance+OR+Protection+OR+Accountability%29%29+AND+Abstract%3A%28%28%22Information+Systems%22+OR+%22Software+development%22%29%29+AND+Abstract%3A%28%28Privacy+OR+%22GDPR%22+OR+%22LGPD%22+OR+%22ISO+27701%22%29%29" TargetMode="External"/><Relationship Id="rId2" Type="http://schemas.openxmlformats.org/officeDocument/2006/relationships/hyperlink" Target="https://ieeexplore.ieee.org/search/searchresult.jsp?action=search&amp;matchBoolean=true&amp;newsearch=true&amp;queryText=((%22Abstract%22:%22Artificial%20Intelligence%22%20OR%20%22Abstract%22:%22Machine%20learning%22%20OR%20%22Abstract%22:%22Natural%20language%20processing%22%20OR%20%22Abstract%22:%22LLM%22)%20AND%20(%22Abstract%22:Privacy%20OR%20%22Abstract%22:%22GDPR%22%20OR%20%22Abstract%22:%22LGPD%22%20OR%20%22Abstract%22:%22ISO%2027701%22)%20AND%20(%22Abstract%22:Compliance%20OR%20%22Abstract%22:Protection%20OR%20%22Abstract%22:Accountability)%20AND%20(%22Abstract%22:%22Information%20Systems%22%20OR%20%22Abstract%22:%22Software%20development%22))" TargetMode="External"/><Relationship Id="rId3" Type="http://schemas.openxmlformats.org/officeDocument/2006/relationships/hyperlink" Target="https://www.scopus.com/results/results.uri?st1=%28%22Artificial+Intelligence%22+OR+%22Machine+learning%22+OR+%22Natural+language+processing%22+OR+%22LLM%22%29+AND+%28Privacy+OR+%22GDPR%22+OR+%22LGPD%22+OR+%22ISO+27701%22%29+AND+%28Compliance+OR+Protection+OR+Accountability%29+AND+%28%22Information+Systems%22+OR+%22Software+development%22%29&amp;st2=&amp;s=ABS%28%28%22Artificial+Intelligence%22+OR+%22Machine+learning%22+OR+%22Natural+language+processing%22+OR+%22LLM%22%29+AND+%28Privacy+OR+%22GDPR%22+OR+%22LGPD%22+OR+%22ISO+27701%22%29+AND+%28Compliance+OR+Protection+OR+Accountability%29+AND+%28%22Information+Systems%22+OR+%22Software+development%22%29%29&amp;limit=10&amp;origin=resultslist&amp;sort=plf-f&amp;src=s&amp;sot=b&amp;sdt=cl&amp;sessionSearchId=fb84c5c3ac69bad863bdc1b7d20abef0&amp;yearFrom=2020&amp;yearTo=2025&amp;cluster=scolang%2C%22English%22%2Ct" TargetMode="External"/><Relationship Id="rId4" Type="http://schemas.openxmlformats.org/officeDocument/2006/relationships/hyperlink" Target="https://www.sciencedirect.com/search?tak=%28%22Artificial+Intelligence%22+OR+%22Machine+Learning%22%29+AND+%28Privacy+OR+%22GDPR%22+OR+%22LGPD%22%29+AND+%28Compliance+OR+Protection%29+AND+%28%22Information+Systems%22+OR+%22Software+development%22%29"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l.acm.org/action/doSearch?fillQuickSearch=false&amp;target=advanced&amp;expand=dl&amp;AfterYear=2020&amp;BeforeYear=2025&amp;AllField=AllField%3A%28%28%22Artificial+Intelligence%22+OR+%22Machine+learning%22+OR+%22Natural+language+processing%22%29%29+AND+AllField%3A%28%28Privacy+OR+Confidentiality+OR+Secrecy+OR+Protection%29%29+AND+AllField%3A%28%28Compliance+OR+Accountability+OR+Accordance+OR+Integrity%29%29+AND+AllField%3A%28%28%22Information+Systems%22+OR+%22Information+Technology%22+OR+Software+OR+Systems%29%29+AND+AllField%3A%28%28%22organizational+context%22+OR+%22business+processes%22+OR+%22compliance+frameworks%22+OR+%22GDPR%22+OR+%22ISO+27001%22+OR+%22LGPD%22%29%29" TargetMode="External"/><Relationship Id="rId2" Type="http://schemas.openxmlformats.org/officeDocument/2006/relationships/hyperlink" Target="https://dl.acm.org/action/doSearch?fillQuickSearch=false&amp;target=advanced&amp;expand=dl&amp;AfterYear=2020&amp;BeforeYear=2025&amp;AllField=AllField%3A%28%28%22artificial+intelligence%22+OR+%22machine+learning%22%29%29+AND+AllField%3A%28%28compliance+OR+accountability%29%29+AND+AllField%3A%28%28%22information+systems%22+OR+software%29%29+AND+AllField%3A%28%28%22organizational+context%22+OR+%22GDPR%22%29%29" TargetMode="External"/><Relationship Id="rId3" Type="http://schemas.openxmlformats.org/officeDocument/2006/relationships/hyperlink" Target="https://dl.acm.org/action/doSearch?fillQuickSearch=false&amp;target=advanced&amp;expand=dl&amp;AfterYear=2020&amp;BeforeYear=2025&amp;AllField=AllField%3A%28%28%22artificial+intelligence%22+OR+%22machine+learning%22%29%29+AND+AllField%3A%28%28compliance+OR+accountability%29%29+AND+AllField%3A%28%28%22information+systems%22+OR+software%29%29+AND+AllField%3A%28%28%22organizational+context%22+OR+%22LGPD%22%29%29" TargetMode="External"/><Relationship Id="rId4" Type="http://schemas.openxmlformats.org/officeDocument/2006/relationships/hyperlink" Target="https://dl.acm.org/action/doSearch?fillQuickSearch=false&amp;target=advanced&amp;expand=dl&amp;AfterYear=2020&amp;BeforeYear=2025&amp;AllField=AllField%3A%28%28%22artificial+intelligence%22+OR+%22machine+learning%22%29%29+AND+AllField%3A%28%28compliance+OR+accountability%29%29+AND+AllField%3A%28%28%22information+systems%22+OR+software%29%29+AND+AllField%3A%28%28%22GDPR%22+OR+%22LGPD%22%29%29" TargetMode="External"/><Relationship Id="rId11" Type="http://schemas.openxmlformats.org/officeDocument/2006/relationships/hyperlink" Target="https://www.sciencedirect.com/search?qs=%28%22artificial+intelligence%22+OR+%22machine+learning%22%29++AND+%28compliance+OR+accountability%29++AND+%28%22information+systems%22+OR+software%29++AND+%28%22GDPR%22+OR+%22LGPD%22%29" TargetMode="External"/><Relationship Id="rId10" Type="http://schemas.openxmlformats.org/officeDocument/2006/relationships/hyperlink" Target="https://www.sciencedirect.com/search?qs=%28%22artificial+intelligence%22+OR+%22machine+learning%22%29+AND+%28compliance+OR+accountability%29+AND+%28%22information+systems%22+OR+software%29+AND+%28%22organizational+context%22+OR+%22LGPD%22%29" TargetMode="External"/><Relationship Id="rId12" Type="http://schemas.openxmlformats.org/officeDocument/2006/relationships/drawing" Target="../drawings/drawing2.xml"/><Relationship Id="rId9" Type="http://schemas.openxmlformats.org/officeDocument/2006/relationships/hyperlink" Target="https://www.sciencedirect.com/search?qs=%28%22artificial+intelligence%22+OR+%22machine+learning%22%29+AND+%28compliance+OR+accountability%29+AND+%28%22information+systems%22+OR+software%29+AND+%28%22organizational+context%22+OR+%22GDPR%22%29" TargetMode="External"/><Relationship Id="rId5" Type="http://schemas.openxmlformats.org/officeDocument/2006/relationships/hyperlink" Target="https://www.scopus.com/results/results.uri?st1=%28%22Artificial+Intelligence%22+OR+%22Machine+learning%22+OR+%22Natural+language+processing%22%29+AND+%28Privacy+OR+Confidentiality+OR+Secrecy+OR+Protection%29+AND+%28Compliance+OR+Accountability+OR+Accordance+OR+Integrity%29+AND+%28%22Information+Systems%22+OR+%22Information+Technology%22+OR+Software+OR+Systems%29+AND+%28%22organizational+context%22+OR+%22business+processes%22+OR+%22compliance+frameworks%22+OR+%22GDPR%22+OR+%22ISO+27001%22+OR+%22LGPD%22%29&amp;st2=&amp;s=TITLE-ABS-KEY%28%28%22Artificial+Intelligence%22+OR+%22Machine+learning%22+OR+%22Natural+language+processing%22%29+AND+%28Privacy+OR+Confidentiality+OR+Secrecy+OR+Protection%29+AND+%28Compliance+OR+Accountability+OR+Accordance+OR+Integrity%29+AND+%28%22Information+Systems%22+OR+%22Information+Technology%22+OR+Software+OR+Systems%29+AND+%28%22organizational+context%22+OR+%22business+processes%22+OR+%22compliance+frameworks%22+OR+%22GDPR%22+OR+%22ISO+27001%22+OR+%22LGPD%22%29%29&amp;limit=10&amp;origin=searchbasic&amp;sort=plf-f&amp;src=s&amp;sot=b&amp;sdt=b&amp;sessionSearchId=39bd614698268cdafece87c9dc4e5583" TargetMode="External"/><Relationship Id="rId6" Type="http://schemas.openxmlformats.org/officeDocument/2006/relationships/hyperlink" Target="https://www.scopus.com/results/results.uri?st1=%28%22artificial+intelligence%22+OR+%22machine+learning%22%29+AND+%28compliance+OR+accountability%29+AND+%28%22information+systems%22+OR+software%29+AND+%28%22organizational+context%22+OR+%22GDPR%22%29&amp;st2=&amp;s=TITLE-ABS-KEY%28%28%22artificial+intelligence%22+OR+%22machine+learning%22%29+AND+%28compliance+OR+accountability%29+AND+%28%22information+systems%22+OR+software%29+AND+%28%22organizational+context%22+OR+%22GDPR%22%29%29&amp;limit=10&amp;origin=searchbasic&amp;sort=plf-f&amp;src=s&amp;sot=b&amp;sdt=b&amp;sessionSearchId=35fbcfc0b5d73a8cf35169b80e6f2494" TargetMode="External"/><Relationship Id="rId7" Type="http://schemas.openxmlformats.org/officeDocument/2006/relationships/hyperlink" Target="https://www.scopus.com/results/results.uri?st1=%28%22artificial+intelligence%22+OR+%22machine+learning%22%29++AND+%28compliance+OR+accountability%29++AND+%28%22information+systems%22+OR+software%29++AND+%28%22organizational+context%22+OR+%22LGPD%22%29&amp;st2=&amp;s=TITLE-ABS-KEY%28%28%22artificial+intelligence%22+OR+%22machine+learning%22%29++AND+%28compliance+OR+accountability%29++AND+%28%22information+systems%22+OR+software%29++AND+%28%22organizational+context%22+OR+%22LGPD%22%29%29&amp;limit=10&amp;origin=searchbasic&amp;sort=plf-f&amp;src=s&amp;sot=b&amp;sdt=b&amp;sessionSearchId=524b6be3182e702ee59269bf9e64af1c" TargetMode="External"/><Relationship Id="rId8" Type="http://schemas.openxmlformats.org/officeDocument/2006/relationships/hyperlink" Target="https://www.scopus.com/results/results.uri?st1=%28%22artificial+intelligence%22+OR+%22machine+learning%22%29++AND+%28compliance+OR+accountability%29++AND+%28%22information+systems%22+OR+software%29++AND+%28%22GDPR%22+OR+%22LGPD%22%29&amp;st2=&amp;s=TITLE-ABS-KEY%28%28%22artificial+intelligence%22+OR+%22machine+learning%22%29++AND+%28compliance+OR+accountability%29++AND+%28%22information+systems%22+OR+software%29++AND+%28%22GDPR%22+OR+%22LGPD%22%29%29&amp;limit=10&amp;origin=searchbasic&amp;sort=plf-f&amp;src=s&amp;sot=b&amp;sdt=b&amp;sessionSearchId=b52b640c2cd94c16033781399c6d353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8"/>
    <col customWidth="1" min="2" max="2" width="51.25"/>
    <col customWidth="1" min="3" max="3" width="19.0"/>
    <col customWidth="1" min="4" max="4" width="14.5"/>
    <col customWidth="1" min="5" max="5" width="28.5"/>
    <col customWidth="1" min="13" max="13" width="14.25"/>
  </cols>
  <sheetData>
    <row r="1" ht="15.75" customHeight="1">
      <c r="A1" s="1" t="s">
        <v>0</v>
      </c>
      <c r="F1" s="2"/>
      <c r="G1" s="2"/>
      <c r="H1" s="2"/>
      <c r="I1" s="2"/>
      <c r="J1" s="2"/>
      <c r="K1" s="3"/>
      <c r="L1" s="3"/>
      <c r="M1" s="3"/>
      <c r="N1" s="3"/>
      <c r="O1" s="3"/>
      <c r="P1" s="3"/>
      <c r="Q1" s="3"/>
      <c r="R1" s="3"/>
      <c r="S1" s="3"/>
      <c r="T1" s="3"/>
      <c r="U1" s="3"/>
      <c r="V1" s="3"/>
      <c r="W1" s="3"/>
      <c r="X1" s="3"/>
      <c r="Y1" s="3"/>
      <c r="Z1" s="3"/>
      <c r="AA1" s="3" t="s">
        <v>1</v>
      </c>
    </row>
    <row r="2" ht="15.75" customHeight="1">
      <c r="A2" s="4" t="s">
        <v>2</v>
      </c>
      <c r="B2" s="5"/>
      <c r="C2" s="5"/>
      <c r="D2" s="5"/>
      <c r="E2" s="6"/>
    </row>
    <row r="3">
      <c r="A3" s="7" t="s">
        <v>3</v>
      </c>
      <c r="B3" s="8" t="s">
        <v>4</v>
      </c>
      <c r="E3" s="6"/>
    </row>
    <row r="4">
      <c r="A4" s="7" t="s">
        <v>5</v>
      </c>
      <c r="B4" s="8" t="s">
        <v>6</v>
      </c>
      <c r="E4" s="6"/>
    </row>
    <row r="5">
      <c r="A5" s="7" t="s">
        <v>7</v>
      </c>
      <c r="B5" s="8" t="s">
        <v>8</v>
      </c>
      <c r="E5" s="8" t="s">
        <v>9</v>
      </c>
    </row>
    <row r="6">
      <c r="A6" s="7" t="s">
        <v>10</v>
      </c>
      <c r="B6" s="9" t="s">
        <v>11</v>
      </c>
      <c r="E6" s="6"/>
    </row>
    <row r="7" ht="15.75" customHeight="1">
      <c r="A7" s="10"/>
      <c r="B7" s="11"/>
      <c r="C7" s="11"/>
      <c r="D7" s="11"/>
      <c r="E7" s="6"/>
    </row>
    <row r="8">
      <c r="A8" s="7" t="s">
        <v>12</v>
      </c>
      <c r="B8" s="11" t="s">
        <v>13</v>
      </c>
      <c r="E8" s="6"/>
    </row>
    <row r="9">
      <c r="A9" s="7" t="s">
        <v>14</v>
      </c>
      <c r="B9" s="8" t="s">
        <v>15</v>
      </c>
      <c r="E9" s="6"/>
    </row>
    <row r="10">
      <c r="A10" s="7"/>
      <c r="B10" s="8" t="s">
        <v>16</v>
      </c>
      <c r="C10" s="12">
        <v>6.0</v>
      </c>
      <c r="D10" s="13" t="s">
        <v>17</v>
      </c>
      <c r="E10" s="6"/>
    </row>
    <row r="11">
      <c r="A11" s="7"/>
      <c r="B11" s="8" t="s">
        <v>18</v>
      </c>
      <c r="C11" s="8">
        <v>20.0</v>
      </c>
      <c r="D11" s="13" t="s">
        <v>19</v>
      </c>
      <c r="E11" s="6"/>
    </row>
    <row r="12">
      <c r="A12" s="7"/>
      <c r="B12" s="8" t="s">
        <v>20</v>
      </c>
      <c r="C12" s="12">
        <v>86.0</v>
      </c>
      <c r="D12" s="13" t="s">
        <v>21</v>
      </c>
      <c r="E12" s="6"/>
    </row>
    <row r="13">
      <c r="A13" s="7"/>
      <c r="B13" s="8" t="s">
        <v>22</v>
      </c>
      <c r="C13" s="8">
        <v>0.0</v>
      </c>
      <c r="D13" s="8" t="s">
        <v>23</v>
      </c>
      <c r="E13" s="6"/>
    </row>
    <row r="14">
      <c r="A14" s="7"/>
      <c r="B14" s="8" t="s">
        <v>24</v>
      </c>
      <c r="C14" s="12">
        <v>15.0</v>
      </c>
      <c r="D14" s="13" t="s">
        <v>25</v>
      </c>
      <c r="E14" s="6"/>
    </row>
    <row r="15">
      <c r="A15" s="7"/>
      <c r="B15" s="8" t="s">
        <v>26</v>
      </c>
      <c r="C15" s="12">
        <f>SUM(C10:C14)</f>
        <v>127</v>
      </c>
      <c r="D15" s="8"/>
      <c r="E15" s="6"/>
    </row>
    <row r="16">
      <c r="A16" s="14" t="s">
        <v>27</v>
      </c>
      <c r="B16" s="15" t="s">
        <v>28</v>
      </c>
      <c r="E16" s="16" t="s">
        <v>29</v>
      </c>
    </row>
    <row r="17">
      <c r="A17" s="14" t="s">
        <v>30</v>
      </c>
      <c r="B17" s="15" t="s">
        <v>31</v>
      </c>
      <c r="E17" s="6"/>
    </row>
    <row r="18">
      <c r="A18" s="17" t="s">
        <v>32</v>
      </c>
      <c r="B18" s="18" t="s">
        <v>33</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c r="G59" s="19">
        <f>450.897777777777</f>
        <v>450.8977778</v>
      </c>
    </row>
    <row r="60" ht="15.75" customHeight="1">
      <c r="G60" s="19" t="s">
        <v>34</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mergeCells count="11">
    <mergeCell ref="B9:D9"/>
    <mergeCell ref="B16:D16"/>
    <mergeCell ref="B17:D17"/>
    <mergeCell ref="B18:E18"/>
    <mergeCell ref="A1:E1"/>
    <mergeCell ref="B3:D3"/>
    <mergeCell ref="B4:D4"/>
    <mergeCell ref="B5:D5"/>
    <mergeCell ref="E5:G5"/>
    <mergeCell ref="B6:D6"/>
    <mergeCell ref="B8:D8"/>
  </mergeCells>
  <hyperlinks>
    <hyperlink r:id="rId1" ref="D10"/>
    <hyperlink r:id="rId2" ref="D11"/>
    <hyperlink r:id="rId3" ref="D12"/>
    <hyperlink r:id="rId4" ref="D1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5.63"/>
  </cols>
  <sheetData>
    <row r="1">
      <c r="B1" s="20" t="s">
        <v>35</v>
      </c>
      <c r="D1" s="21" t="s">
        <v>36</v>
      </c>
      <c r="F1" s="21" t="s">
        <v>37</v>
      </c>
      <c r="H1" s="21" t="s">
        <v>38</v>
      </c>
    </row>
    <row r="2">
      <c r="B2" s="22" t="s">
        <v>39</v>
      </c>
      <c r="C2" s="23"/>
      <c r="D2" s="22" t="s">
        <v>40</v>
      </c>
      <c r="F2" s="22" t="s">
        <v>41</v>
      </c>
      <c r="H2" s="22" t="s">
        <v>42</v>
      </c>
    </row>
    <row r="3">
      <c r="A3" s="20">
        <v>3569.0</v>
      </c>
      <c r="B3" s="24" t="s">
        <v>43</v>
      </c>
      <c r="C3" s="25">
        <v>1858.0</v>
      </c>
      <c r="D3" s="26" t="s">
        <v>44</v>
      </c>
      <c r="E3" s="20">
        <v>263.0</v>
      </c>
      <c r="F3" s="27" t="s">
        <v>45</v>
      </c>
      <c r="G3" s="20">
        <v>1766.0</v>
      </c>
      <c r="H3" s="28" t="s">
        <v>46</v>
      </c>
    </row>
    <row r="4">
      <c r="A4" s="20">
        <v>0.0</v>
      </c>
      <c r="B4" s="22" t="s">
        <v>47</v>
      </c>
      <c r="C4" s="25">
        <v>0.0</v>
      </c>
      <c r="D4" s="22" t="s">
        <v>47</v>
      </c>
      <c r="E4" s="20">
        <v>0.0</v>
      </c>
      <c r="F4" s="29" t="s">
        <v>47</v>
      </c>
      <c r="H4" s="29" t="s">
        <v>47</v>
      </c>
    </row>
    <row r="5">
      <c r="A5" s="20">
        <v>328.0</v>
      </c>
      <c r="B5" s="26" t="s">
        <v>48</v>
      </c>
      <c r="C5" s="25">
        <v>55.0</v>
      </c>
      <c r="D5" s="24" t="s">
        <v>49</v>
      </c>
      <c r="E5" s="20">
        <v>2.0</v>
      </c>
      <c r="F5" s="27" t="s">
        <v>50</v>
      </c>
      <c r="G5" s="20">
        <v>55.0</v>
      </c>
      <c r="H5" s="28" t="s">
        <v>51</v>
      </c>
    </row>
    <row r="6">
      <c r="B6" s="30"/>
      <c r="C6" s="31"/>
      <c r="D6" s="30"/>
      <c r="F6" s="32"/>
      <c r="H6" s="32"/>
    </row>
    <row r="7">
      <c r="B7" s="22" t="s">
        <v>52</v>
      </c>
      <c r="C7" s="25">
        <v>4464.0</v>
      </c>
      <c r="D7" s="24" t="s">
        <v>53</v>
      </c>
      <c r="E7" s="20">
        <v>1213.0</v>
      </c>
      <c r="F7" s="27" t="s">
        <v>54</v>
      </c>
      <c r="G7" s="20">
        <v>3432.0</v>
      </c>
      <c r="H7" s="28" t="s">
        <v>55</v>
      </c>
    </row>
    <row r="8">
      <c r="A8" s="33">
        <f>SUM(A3:A7)</f>
        <v>3897</v>
      </c>
      <c r="B8" s="30"/>
      <c r="C8" s="31">
        <f>SUM(C3:C7)</f>
        <v>6377</v>
      </c>
      <c r="D8" s="31"/>
      <c r="E8" s="33">
        <f>SUM(E3:E7)</f>
        <v>1478</v>
      </c>
      <c r="F8" s="32"/>
      <c r="G8" s="33">
        <f>SUM(G3:G7)</f>
        <v>5253</v>
      </c>
      <c r="H8" s="32"/>
    </row>
    <row r="12">
      <c r="B12" s="20" t="s">
        <v>8</v>
      </c>
    </row>
  </sheetData>
  <hyperlinks>
    <hyperlink r:id="rId1" ref="B3"/>
    <hyperlink r:id="rId2" ref="D3"/>
    <hyperlink r:id="rId3" ref="F3"/>
    <hyperlink r:id="rId4" ref="H3"/>
    <hyperlink r:id="rId5" ref="B5"/>
    <hyperlink r:id="rId6" ref="D5"/>
    <hyperlink r:id="rId7" ref="F5"/>
    <hyperlink r:id="rId8" ref="H5"/>
    <hyperlink r:id="rId9" ref="D7"/>
    <hyperlink r:id="rId10" ref="F7"/>
    <hyperlink r:id="rId11" ref="H7"/>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